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der List" sheetId="1" state="visible" r:id="rId1"/>
    <sheet name="Dish Breakdown" sheetId="2" state="visible" r:id="rId2"/>
    <sheet name="Read Me &amp; Questions" sheetId="3" state="visible" r:id="rId3"/>
  </sheets>
  <definedNames>
    <definedName name="_xlnm._FilterDatabase" localSheetId="0" hidden="1">'Order List'!$A$5:$P$123</definedName>
    <definedName name="_xlnm.Print_Titles" localSheetId="0">'Order List'!$5:$5</definedName>
    <definedName name="_xlnm._FilterDatabase" localSheetId="1" hidden="1">'Dish Breakdown'!$A$1:$C$139</definedName>
  </definedNames>
  <calcPr calcId="124519" fullCalcOnLoad="1"/>
</workbook>
</file>

<file path=xl/styles.xml><?xml version="1.0" encoding="utf-8"?>
<styleSheet xmlns="http://schemas.openxmlformats.org/spreadsheetml/2006/main">
  <numFmts count="1">
    <numFmt numFmtId="164" formatCode="$#,##0.00"/>
  </numFmts>
  <fonts count="11">
    <font>
      <name val="Calibri"/>
      <family val="2"/>
      <color theme="1"/>
      <sz val="11"/>
      <scheme val="minor"/>
    </font>
    <font>
      <name val="Arial"/>
      <b val="1"/>
      <sz val="14"/>
    </font>
    <font>
      <name val="Arial"/>
      <i val="1"/>
      <color rgb="00666666"/>
      <sz val="9"/>
    </font>
    <font>
      <name val="Arial"/>
      <b val="1"/>
    </font>
    <font>
      <name val="Arial"/>
      <b val="1"/>
      <color rgb="00FFFFFF"/>
    </font>
    <font>
      <name val="Arial"/>
      <b val="1"/>
      <color rgb="008A6D2F"/>
    </font>
    <font>
      <name val="Arial"/>
      <sz val="10"/>
    </font>
    <font>
      <name val="Arial"/>
      <sz val="9"/>
    </font>
    <font>
      <name val="Arial"/>
      <b val="1"/>
      <sz val="10"/>
    </font>
    <font>
      <name val="Arial"/>
      <b val="1"/>
      <color rgb="003D7A57"/>
      <sz val="12"/>
    </font>
    <font>
      <name val="Arial"/>
      <color rgb="00000000"/>
      <sz val="10"/>
    </font>
  </fonts>
  <fills count="5">
    <fill>
      <patternFill/>
    </fill>
    <fill>
      <patternFill patternType="gray125"/>
    </fill>
    <fill>
      <patternFill patternType="solid">
        <fgColor rgb="00FFFF00"/>
      </patternFill>
    </fill>
    <fill>
      <patternFill patternType="solid">
        <fgColor rgb="003D7A57"/>
      </patternFill>
    </fill>
    <fill>
      <patternFill patternType="solid">
        <fgColor rgb="00F7F3EA"/>
      </patternFill>
    </fill>
  </fills>
  <borders count="2">
    <border>
      <left/>
      <right/>
      <top/>
      <bottom/>
      <diagonal/>
    </border>
    <border>
      <bottom style="thin">
        <color rgb="00D9D2C0"/>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2" borderId="0" pivotButton="0" quotePrefix="0" xfId="0"/>
    <xf numFmtId="0" fontId="4" fillId="3" borderId="0" applyAlignment="1" pivotButton="0" quotePrefix="0" xfId="0">
      <alignment vertical="center" wrapText="1"/>
    </xf>
    <xf numFmtId="0" fontId="5" fillId="4" borderId="0" pivotButton="0" quotePrefix="0" xfId="0"/>
    <xf numFmtId="0" fontId="0" fillId="4" borderId="0" pivotButton="0" quotePrefix="0" xfId="0"/>
    <xf numFmtId="0" fontId="6" fillId="0" borderId="1" applyAlignment="1" pivotButton="0" quotePrefix="0" xfId="0">
      <alignment vertical="top" wrapText="1"/>
    </xf>
    <xf numFmtId="0" fontId="3" fillId="0" borderId="1" applyAlignment="1" pivotButton="0" quotePrefix="0" xfId="0">
      <alignment vertical="top" wrapText="1"/>
    </xf>
    <xf numFmtId="0" fontId="7" fillId="0" borderId="1" applyAlignment="1" pivotButton="0" quotePrefix="0" xfId="0">
      <alignment vertical="top" wrapText="1"/>
    </xf>
    <xf numFmtId="0" fontId="6" fillId="2" borderId="1" applyAlignment="1" pivotButton="0" quotePrefix="0" xfId="0">
      <alignment vertical="top" wrapText="1"/>
    </xf>
    <xf numFmtId="164" fontId="6" fillId="2" borderId="1" applyAlignment="1" pivotButton="0" quotePrefix="0" xfId="0">
      <alignment vertical="top" wrapText="1"/>
    </xf>
    <xf numFmtId="164" fontId="6" fillId="0" borderId="1" applyAlignment="1" pivotButton="0" quotePrefix="0" xfId="0">
      <alignment vertical="top" wrapText="1"/>
    </xf>
    <xf numFmtId="164" fontId="3" fillId="0" borderId="0" pivotButton="0" quotePrefix="0" xfId="0"/>
    <xf numFmtId="0" fontId="4" fillId="3" borderId="0" pivotButton="0" quotePrefix="0" xfId="0"/>
    <xf numFmtId="0" fontId="6"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wrapText="1"/>
    </xf>
    <xf numFmtId="0" fontId="1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Claude</author>
  </authors>
  <commentList>
    <comment ref="L5" authorId="0" shapeId="0">
      <text>
        <t>Order Qty = Par − On Hand (never below 0). Blank until Par is entered.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P1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32" customWidth="1" min="3" max="3"/>
    <col width="40" customWidth="1" min="4" max="4"/>
    <col width="10" customWidth="1" min="5" max="5"/>
    <col width="26" customWidth="1" min="6" max="6"/>
    <col width="60" customWidth="1" min="7" max="7"/>
    <col width="9" customWidth="1" min="8" max="8"/>
    <col width="18" customWidth="1" min="9" max="9"/>
    <col width="8" customWidth="1" min="10" max="10"/>
    <col width="9" customWidth="1" min="11" max="11"/>
    <col width="10" customWidth="1" min="12" max="12"/>
    <col width="14" customWidth="1" min="13" max="13"/>
    <col width="11" customWidth="1" min="14" max="14"/>
    <col width="12" customWidth="1" min="15" max="15"/>
    <col width="10" customWidth="1" min="16" max="16"/>
  </cols>
  <sheetData>
    <row r="1">
      <c r="A1" s="1" t="inlineStr">
        <is>
          <t>Cecilia's — Summer 2027 Menu Order List</t>
        </is>
      </c>
    </row>
    <row r="2">
      <c r="A2" s="2" t="inlineStr">
        <is>
          <t>Every raw ingredient &amp; consumable referenced across all 7 menus. Fill the yellow cells; Order Qty calculates.</t>
        </is>
      </c>
    </row>
    <row r="3">
      <c r="A3" s="3" t="inlineStr">
        <is>
          <t>Order date:</t>
        </is>
      </c>
      <c r="B3" s="4" t="n"/>
    </row>
    <row r="5">
      <c r="A5" s="5" t="inlineStr">
        <is>
          <t>#</t>
        </is>
      </c>
      <c r="B5" s="5" t="inlineStr">
        <is>
          <t>Category</t>
        </is>
      </c>
      <c r="C5" s="5" t="inlineStr">
        <is>
          <t>Item</t>
        </is>
      </c>
      <c r="D5" s="5" t="inlineStr">
        <is>
          <t>Spec / Notes</t>
        </is>
      </c>
      <c r="E5" s="5" t="inlineStr">
        <is>
          <t>Unit</t>
        </is>
      </c>
      <c r="F5" s="5" t="inlineStr">
        <is>
          <t>Menus</t>
        </is>
      </c>
      <c r="G5" s="5" t="inlineStr">
        <is>
          <t>Used In</t>
        </is>
      </c>
      <c r="H5" s="5" t="inlineStr">
        <is>
          <t># Dishes</t>
        </is>
      </c>
      <c r="I5" s="5" t="inlineStr">
        <is>
          <t>Supplier</t>
        </is>
      </c>
      <c r="J5" s="5" t="inlineStr">
        <is>
          <t>Par</t>
        </is>
      </c>
      <c r="K5" s="5" t="inlineStr">
        <is>
          <t>On Hand</t>
        </is>
      </c>
      <c r="L5" s="5" t="inlineStr">
        <is>
          <t>Order Qty</t>
        </is>
      </c>
      <c r="M5" s="5" t="inlineStr">
        <is>
          <t>In-house or Buy?</t>
        </is>
      </c>
      <c r="N5" s="5" t="inlineStr">
        <is>
          <t>Unit Cost ($)</t>
        </is>
      </c>
      <c r="O5" s="5" t="inlineStr">
        <is>
          <t>Line Total ($)</t>
        </is>
      </c>
      <c r="P5" s="5" t="inlineStr">
        <is>
          <t>Ordered ✓</t>
        </is>
      </c>
    </row>
    <row r="6">
      <c r="A6" s="6" t="inlineStr">
        <is>
          <t>Seafood</t>
        </is>
      </c>
      <c r="B6" s="7" t="n"/>
      <c r="C6" s="7" t="n"/>
      <c r="D6" s="7" t="n"/>
      <c r="E6" s="7" t="n"/>
      <c r="F6" s="7" t="n"/>
      <c r="G6" s="7" t="n"/>
      <c r="H6" s="7" t="n"/>
      <c r="I6" s="7" t="n"/>
      <c r="J6" s="7" t="n"/>
      <c r="K6" s="7" t="n"/>
      <c r="L6" s="7" t="n"/>
      <c r="M6" s="7" t="n"/>
      <c r="N6" s="7" t="n"/>
      <c r="O6" s="7" t="n"/>
      <c r="P6" s="7" t="n"/>
    </row>
    <row r="7">
      <c r="A7" s="8" t="n">
        <v>1</v>
      </c>
      <c r="B7" s="8" t="inlineStr">
        <is>
          <t>Seafood</t>
        </is>
      </c>
      <c r="C7" s="9" t="inlineStr">
        <is>
          <t>Pacific oysters</t>
        </is>
      </c>
      <c r="D7" s="10" t="inlineStr">
        <is>
          <t>Live, unshucked; shuck to order</t>
        </is>
      </c>
      <c r="E7" s="8" t="inlineStr">
        <is>
          <t>doz</t>
        </is>
      </c>
      <c r="F7" s="10" t="inlineStr">
        <is>
          <t>Lunch, Dinner, Midweek, Supper Club, Canapés, Functions</t>
        </is>
      </c>
      <c r="G7" s="10" t="inlineStr">
        <is>
          <t>Pacific Oysters (Natural / Sesame &amp; Wasabi) (Lunch); Seafood Lunch Platter (Lunch); Pacific Oysters (Dinner); Lobster Bouillabaisse (Dinner); Seafood Platter for Two (Dinner); Add-on: Two Pacific Oysters (Midweek); Pacific Oysters (Supper Club); Pacific Oyster, Natural (Yuzu) (Canapés); Pacific Oyster, Dressed (Canapés); Pacific Oysters (Functions); Seafood Platter for Two (Functions)</t>
        </is>
      </c>
      <c r="H7" s="8" t="n">
        <v>11</v>
      </c>
      <c r="I7" s="11" t="n"/>
      <c r="J7" s="11" t="n"/>
      <c r="K7" s="11" t="n"/>
      <c r="L7" s="8">
        <f>IF(OR(J7="",J7=0),"",MAX(J7-N(K7),0))</f>
        <v/>
      </c>
      <c r="M7" s="11" t="n"/>
      <c r="N7" s="12" t="n"/>
      <c r="O7" s="13">
        <f>IF(OR(L7="",N7=""),"",L7*N7)</f>
        <v/>
      </c>
      <c r="P7" s="11" t="n"/>
    </row>
    <row r="8">
      <c r="A8" s="8" t="n">
        <v>2</v>
      </c>
      <c r="B8" s="8" t="inlineStr">
        <is>
          <t>Seafood</t>
        </is>
      </c>
      <c r="C8" s="9" t="inlineStr">
        <is>
          <t>Rock lobster (whole)</t>
        </is>
      </c>
      <c r="D8" s="10" t="inlineStr">
        <is>
          <t>Live/whole; seafood platter + bouillabaisse</t>
        </is>
      </c>
      <c r="E8" s="8" t="inlineStr">
        <is>
          <t>each</t>
        </is>
      </c>
      <c r="F8" s="10" t="inlineStr">
        <is>
          <t>Dinner, Supper Club, Canapés, Functions</t>
        </is>
      </c>
      <c r="G8" s="10" t="inlineStr">
        <is>
          <t>Lobster Bouillabaisse (Dinner); Seafood Platter for Two (Dinner); Bouillabaisse Cup (Supper Club); Lobster Bouillabaisse Cup (Canapés); Seafood Platter for Two (Functions)</t>
        </is>
      </c>
      <c r="H8" s="8" t="n">
        <v>5</v>
      </c>
      <c r="I8" s="11" t="n"/>
      <c r="J8" s="11" t="n"/>
      <c r="K8" s="11" t="n"/>
      <c r="L8" s="8">
        <f>IF(OR(J8="",J8=0),"",MAX(J8-N(K8),0))</f>
        <v/>
      </c>
      <c r="M8" s="11" t="n"/>
      <c r="N8" s="12" t="n"/>
      <c r="O8" s="13">
        <f>IF(OR(L8="",N8=""),"",L8*N8)</f>
        <v/>
      </c>
      <c r="P8" s="11" t="n"/>
    </row>
    <row r="9">
      <c r="A9" s="8" t="n">
        <v>3</v>
      </c>
      <c r="B9" s="8" t="inlineStr">
        <is>
          <t>Seafood</t>
        </is>
      </c>
      <c r="C9" s="9" t="inlineStr">
        <is>
          <t>Blue swimmer crab meat</t>
        </is>
      </c>
      <c r="D9" s="10" t="inlineStr">
        <is>
          <t>Picked, pasteurised or fresh</t>
        </is>
      </c>
      <c r="E9" s="8" t="inlineStr">
        <is>
          <t>kg</t>
        </is>
      </c>
      <c r="F9" s="10" t="inlineStr">
        <is>
          <t>Breakfast, Lunch, Dinner, Supper Club, Canapés, Functions</t>
        </is>
      </c>
      <c r="G9" s="10" t="inlineStr">
        <is>
          <t>Crab Pancake &amp; Eggs (Breakfast); Potato Pancake (Lunch); Seafood Lunch Platter (Lunch); Seafood Platter for Two (Dinner); Potato Pancake (Dinner); Crab Potato Pancake (Supper Club); Crab Potato Pancake (Canapés); Potato Pancake (Functions); Seafood Platter for Two (Functions)</t>
        </is>
      </c>
      <c r="H9" s="8" t="n">
        <v>9</v>
      </c>
      <c r="I9" s="11" t="n"/>
      <c r="J9" s="11" t="n"/>
      <c r="K9" s="11" t="n"/>
      <c r="L9" s="8">
        <f>IF(OR(J9="",J9=0),"",MAX(J9-N(K9),0))</f>
        <v/>
      </c>
      <c r="M9" s="11" t="n"/>
      <c r="N9" s="12" t="n"/>
      <c r="O9" s="13">
        <f>IF(OR(L9="",N9=""),"",L9*N9)</f>
        <v/>
      </c>
      <c r="P9" s="11" t="n"/>
    </row>
    <row r="10">
      <c r="A10" s="8" t="n">
        <v>4</v>
      </c>
      <c r="B10" s="8" t="inlineStr">
        <is>
          <t>Seafood</t>
        </is>
      </c>
      <c r="C10" s="9" t="inlineStr">
        <is>
          <t>Prawns, green (raw)</t>
        </is>
      </c>
      <c r="D10" s="10" t="inlineStr">
        <is>
          <t>Whole, heads on (heads for rouille)</t>
        </is>
      </c>
      <c r="E10" s="8" t="inlineStr">
        <is>
          <t>kg</t>
        </is>
      </c>
      <c r="F10" s="10" t="inlineStr">
        <is>
          <t>Lunch, Dinner, Midweek, Supper Club, Canapés, Functions</t>
        </is>
      </c>
      <c r="G10" s="10" t="inlineStr">
        <is>
          <t>Potato Pancake (Lunch); Seafood Lunch Platter (Lunch); Roast Barramundi (Dinner); Lobster Bouillabaisse (Dinner); Seafood Platter for Two (Dinner); Potato Pancake (Dinner); Roast Barramundi (Midweek); Prawns &amp; Rouille (Supper Club); Kataifi Prawns (Supper Club); Crab Potato Pancake (Supper Club); Lobster Bouillabaisse Cup (Canapés); Barramundi Bite (Canapés); Crab Potato Pancake (Canapés); Potato Pancake (Functions); Seafood Platter for Two (Functions)</t>
        </is>
      </c>
      <c r="H10" s="8" t="n">
        <v>15</v>
      </c>
      <c r="I10" s="11" t="n"/>
      <c r="J10" s="11" t="n"/>
      <c r="K10" s="11" t="n"/>
      <c r="L10" s="8">
        <f>IF(OR(J10="",J10=0),"",MAX(J10-N(K10),0))</f>
        <v/>
      </c>
      <c r="M10" s="11" t="n"/>
      <c r="N10" s="12" t="n"/>
      <c r="O10" s="13">
        <f>IF(OR(L10="",N10=""),"",L10*N10)</f>
        <v/>
      </c>
      <c r="P10" s="11" t="n"/>
    </row>
    <row r="11">
      <c r="A11" s="8" t="n">
        <v>5</v>
      </c>
      <c r="B11" s="8" t="inlineStr">
        <is>
          <t>Seafood</t>
        </is>
      </c>
      <c r="C11" s="9" t="inlineStr">
        <is>
          <t>Tuna, sashimi grade</t>
        </is>
      </c>
      <c r="D11" s="10" t="inlineStr">
        <is>
          <t>Loin, for crudo</t>
        </is>
      </c>
      <c r="E11" s="8" t="inlineStr">
        <is>
          <t>kg</t>
        </is>
      </c>
      <c r="F11" s="10" t="inlineStr">
        <is>
          <t>Lunch, Dinner, Midweek, Supper Club, Canapés, Functions</t>
        </is>
      </c>
      <c r="G11" s="10" t="inlineStr">
        <is>
          <t>Tuna Crudo (Lunch); Seafood Lunch Platter (Lunch); Seafood Platter for Two (Dinner); Tuna Crudo (Dinner); Tuna Crudo (Midweek); Tuna Crudo (Supper Club); Tuna Crudo Spoon (Canapés); Tuna Crudo (Functions); Seafood Platter for Two (Functions)</t>
        </is>
      </c>
      <c r="H11" s="8" t="n">
        <v>9</v>
      </c>
      <c r="I11" s="11" t="n"/>
      <c r="J11" s="11" t="n"/>
      <c r="K11" s="11" t="n"/>
      <c r="L11" s="8">
        <f>IF(OR(J11="",J11=0),"",MAX(J11-N(K11),0))</f>
        <v/>
      </c>
      <c r="M11" s="11" t="n"/>
      <c r="N11" s="12" t="n"/>
      <c r="O11" s="13">
        <f>IF(OR(L11="",N11=""),"",L11*N11)</f>
        <v/>
      </c>
      <c r="P11" s="11" t="n"/>
    </row>
    <row r="12">
      <c r="A12" s="8" t="n">
        <v>6</v>
      </c>
      <c r="B12" s="8" t="inlineStr">
        <is>
          <t>Seafood</t>
        </is>
      </c>
      <c r="C12" s="9" t="inlineStr">
        <is>
          <t>Barramundi fillet</t>
        </is>
      </c>
      <c r="D12" s="10" t="inlineStr">
        <is>
          <t>Skin on, portioned for mains + bites</t>
        </is>
      </c>
      <c r="E12" s="8" t="inlineStr">
        <is>
          <t>kg</t>
        </is>
      </c>
      <c r="F12" s="10" t="inlineStr">
        <is>
          <t>Lunch, Dinner, Midweek, Supper Club, Canapés, Functions</t>
        </is>
      </c>
      <c r="G12" s="10" t="inlineStr">
        <is>
          <t>Roast Barramundi (Lunch); Roast Barramundi (Dinner); Seafood Platter for Two (Dinner); Roast Barramundi (Midweek); Barramundi Bites (Supper Club); Barramundi Bite (Canapés); Roast Barramundi (Functions); Seafood Platter for Two (Functions)</t>
        </is>
      </c>
      <c r="H12" s="8" t="n">
        <v>8</v>
      </c>
      <c r="I12" s="11" t="n"/>
      <c r="J12" s="11" t="n"/>
      <c r="K12" s="11" t="n"/>
      <c r="L12" s="8">
        <f>IF(OR(J12="",J12=0),"",MAX(J12-N(K12),0))</f>
        <v/>
      </c>
      <c r="M12" s="11" t="n"/>
      <c r="N12" s="12" t="n"/>
      <c r="O12" s="13">
        <f>IF(OR(L12="",N12=""),"",L12*N12)</f>
        <v/>
      </c>
      <c r="P12" s="11" t="n"/>
    </row>
    <row r="13">
      <c r="A13" s="8" t="n">
        <v>7</v>
      </c>
      <c r="B13" s="8" t="inlineStr">
        <is>
          <t>Seafood</t>
        </is>
      </c>
      <c r="C13" s="9" t="inlineStr">
        <is>
          <t>Local white fish</t>
        </is>
      </c>
      <c r="D13" s="10" t="inlineStr">
        <is>
          <t>Bouillabaisse (fish of the day)</t>
        </is>
      </c>
      <c r="E13" s="8" t="inlineStr">
        <is>
          <t>kg</t>
        </is>
      </c>
      <c r="F13" s="10" t="inlineStr">
        <is>
          <t>Dinner, Supper Club, Canapés</t>
        </is>
      </c>
      <c r="G13" s="10" t="inlineStr">
        <is>
          <t>Lobster Bouillabaisse (Dinner); Bouillabaisse Cup (Supper Club); Lobster Bouillabaisse Cup (Canapés)</t>
        </is>
      </c>
      <c r="H13" s="8" t="n">
        <v>3</v>
      </c>
      <c r="I13" s="11" t="n"/>
      <c r="J13" s="11" t="n"/>
      <c r="K13" s="11" t="n"/>
      <c r="L13" s="8">
        <f>IF(OR(J13="",J13=0),"",MAX(J13-N(K13),0))</f>
        <v/>
      </c>
      <c r="M13" s="11" t="n"/>
      <c r="N13" s="12" t="n"/>
      <c r="O13" s="13">
        <f>IF(OR(L13="",N13=""),"",L13*N13)</f>
        <v/>
      </c>
      <c r="P13" s="11" t="n"/>
    </row>
    <row r="14">
      <c r="A14" s="8" t="n">
        <v>8</v>
      </c>
      <c r="B14" s="8" t="inlineStr">
        <is>
          <t>Seafood</t>
        </is>
      </c>
      <c r="C14" s="9" t="inlineStr">
        <is>
          <t>White anchovies (boquerones)</t>
        </is>
      </c>
      <c r="D14" s="10" t="inlineStr">
        <is>
          <t>Marinated, tray</t>
        </is>
      </c>
      <c r="E14" s="8" t="inlineStr">
        <is>
          <t>tray</t>
        </is>
      </c>
      <c r="F14" s="10" t="inlineStr">
        <is>
          <t>Lunch, Dinner, Supper Club, Canapés, Functions</t>
        </is>
      </c>
      <c r="G14" s="10" t="inlineStr">
        <is>
          <t>Seafood Lunch Platter (Lunch); White Anchovies (Dinner); Seafood Platter for Two (Dinner); Anchovy Toast (Supper Club); White Anchovy Toast (Canapés); Seafood Platter for Two (Functions)</t>
        </is>
      </c>
      <c r="H14" s="8" t="n">
        <v>6</v>
      </c>
      <c r="I14" s="11" t="n"/>
      <c r="J14" s="11" t="n"/>
      <c r="K14" s="11" t="n"/>
      <c r="L14" s="8">
        <f>IF(OR(J14="",J14=0),"",MAX(J14-N(K14),0))</f>
        <v/>
      </c>
      <c r="M14" s="11" t="n"/>
      <c r="N14" s="12" t="n"/>
      <c r="O14" s="13">
        <f>IF(OR(L14="",N14=""),"",L14*N14)</f>
        <v/>
      </c>
      <c r="P14" s="11" t="n"/>
    </row>
    <row r="15">
      <c r="A15" s="8" t="n">
        <v>9</v>
      </c>
      <c r="B15" s="8" t="inlineStr">
        <is>
          <t>Seafood</t>
        </is>
      </c>
      <c r="C15" s="9" t="inlineStr">
        <is>
          <t>Anchovy fillets (salted/oil)</t>
        </is>
      </c>
      <c r="D15" s="10" t="inlineStr">
        <is>
          <t>For anchovette sambal + anchovy crunch + tonnato</t>
        </is>
      </c>
      <c r="E15" s="8" t="inlineStr">
        <is>
          <t>tin</t>
        </is>
      </c>
      <c r="F15" s="10" t="inlineStr">
        <is>
          <t>Lunch, Dinner, Midweek, Supper Club, Canapés, Functions</t>
        </is>
      </c>
      <c r="G15" s="10" t="inlineStr">
        <is>
          <t>Seared Wagyu Skewers (Lunch); Roast Barramundi (Lunch); BBQ Lamb Shoulder (Lunch); White Anchovies (Dinner); BBQ Lamb Shoulder (Dinner); Roast Barramundi (Dinner); Seared Wagyu Skewers (Dinner); Seared Wagyu Skewers (Midweek); BBQ Lamb Shoulder (Midweek); Roast Barramundi (Midweek); Anchovy Toast (Supper Club); Barramundi Bites (Supper Club); BBQ Lamb on Bread (Supper Club); Wagyu Skewers (Supper Club); Wagyu Skewer (Canapés); White Anchovy Toast (Canapés); BBQ Lamb Shoulder (Canapés); Barramundi Bite (Canapés); Seared Wagyu Skewers (Functions); BBQ Lamb Shoulder (Functions); Roast Barramundi (Functions)</t>
        </is>
      </c>
      <c r="H15" s="8" t="n">
        <v>21</v>
      </c>
      <c r="I15" s="11" t="n"/>
      <c r="J15" s="11" t="n"/>
      <c r="K15" s="11" t="n"/>
      <c r="L15" s="8">
        <f>IF(OR(J15="",J15=0),"",MAX(J15-N(K15),0))</f>
        <v/>
      </c>
      <c r="M15" s="11" t="n"/>
      <c r="N15" s="12" t="n"/>
      <c r="O15" s="13">
        <f>IF(OR(L15="",N15=""),"",L15*N15)</f>
        <v/>
      </c>
      <c r="P15" s="11" t="n"/>
    </row>
    <row r="16">
      <c r="A16" s="8" t="n">
        <v>10</v>
      </c>
      <c r="B16" s="8" t="inlineStr">
        <is>
          <t>Seafood</t>
        </is>
      </c>
      <c r="C16" s="9" t="inlineStr">
        <is>
          <t>Smoked salmon</t>
        </is>
      </c>
      <c r="D16" s="10" t="inlineStr">
        <is>
          <t>Sliced, cold smoked</t>
        </is>
      </c>
      <c r="E16" s="8" t="inlineStr">
        <is>
          <t>kg</t>
        </is>
      </c>
      <c r="F16" s="10" t="inlineStr">
        <is>
          <t>Breakfast, Supper Club</t>
        </is>
      </c>
      <c r="G16" s="10" t="inlineStr">
        <is>
          <t>The Real Eggs Benedict (Breakfast); Koji Sunrise (Breakfast); Chef's Breakfast (Breakfast); Breakfast Sides (Breakfast); Smoked Salmon Rösti (Supper Club)</t>
        </is>
      </c>
      <c r="H16" s="8" t="n">
        <v>5</v>
      </c>
      <c r="I16" s="11" t="n"/>
      <c r="J16" s="11" t="n"/>
      <c r="K16" s="11" t="n"/>
      <c r="L16" s="8">
        <f>IF(OR(J16="",J16=0),"",MAX(J16-N(K16),0))</f>
        <v/>
      </c>
      <c r="M16" s="11" t="n"/>
      <c r="N16" s="12" t="n"/>
      <c r="O16" s="13">
        <f>IF(OR(L16="",N16=""),"",L16*N16)</f>
        <v/>
      </c>
      <c r="P16" s="11" t="n"/>
    </row>
    <row r="17">
      <c r="A17" s="8" t="n">
        <v>11</v>
      </c>
      <c r="B17" s="8" t="inlineStr">
        <is>
          <t>Seafood</t>
        </is>
      </c>
      <c r="C17" s="9" t="inlineStr">
        <is>
          <t>Tobiko (flying fish roe)</t>
        </is>
      </c>
      <c r="D17" s="10" t="inlineStr">
        <is>
          <t>Orange</t>
        </is>
      </c>
      <c r="E17" s="8" t="inlineStr">
        <is>
          <t>kg</t>
        </is>
      </c>
      <c r="F17" s="10" t="inlineStr">
        <is>
          <t>Breakfast, Lunch, Dinner, Supper Club, Canapés, Functions</t>
        </is>
      </c>
      <c r="G17" s="10" t="inlineStr">
        <is>
          <t>Crab Pancake &amp; Eggs (Breakfast); Potato Pancake (Lunch); Seafood Lunch Platter (Lunch); Potato Pancake (Dinner); Smoked Salmon Rösti (Supper Club); Crab Potato Pancake (Supper Club); Crab Potato Pancake (Canapés); Potato Pancake (Functions)</t>
        </is>
      </c>
      <c r="H17" s="8" t="n">
        <v>8</v>
      </c>
      <c r="I17" s="11" t="n"/>
      <c r="J17" s="11" t="n"/>
      <c r="K17" s="11" t="n"/>
      <c r="L17" s="8">
        <f>IF(OR(J17="",J17=0),"",MAX(J17-N(K17),0))</f>
        <v/>
      </c>
      <c r="M17" s="11" t="n"/>
      <c r="N17" s="12" t="n"/>
      <c r="O17" s="13">
        <f>IF(OR(L17="",N17=""),"",L17*N17)</f>
        <v/>
      </c>
      <c r="P17" s="11" t="n"/>
    </row>
    <row r="18">
      <c r="A18" s="8" t="n">
        <v>12</v>
      </c>
      <c r="B18" s="8" t="inlineStr">
        <is>
          <t>Seafood</t>
        </is>
      </c>
      <c r="C18" s="9" t="inlineStr">
        <is>
          <t>Wasabi caviar / wasabi tobiko</t>
        </is>
      </c>
      <c r="D18" s="10" t="inlineStr">
        <is>
          <t>For dressed oysters</t>
        </is>
      </c>
      <c r="E18" s="8" t="inlineStr">
        <is>
          <t>tub</t>
        </is>
      </c>
      <c r="F18" s="10" t="inlineStr">
        <is>
          <t>Lunch, Dinner, Supper Club, Canapés, Functions</t>
        </is>
      </c>
      <c r="G18" s="10" t="inlineStr">
        <is>
          <t>Pacific Oysters (Natural / Sesame &amp; Wasabi) (Lunch); Pacific Oysters (Dinner); Pacific Oysters (Supper Club); Pacific Oyster, Dressed (Canapés); Pacific Oysters (Functions)</t>
        </is>
      </c>
      <c r="H18" s="8" t="n">
        <v>5</v>
      </c>
      <c r="I18" s="11" t="n"/>
      <c r="J18" s="11" t="n"/>
      <c r="K18" s="11" t="n"/>
      <c r="L18" s="8">
        <f>IF(OR(J18="",J18=0),"",MAX(J18-N(K18),0))</f>
        <v/>
      </c>
      <c r="M18" s="11" t="n"/>
      <c r="N18" s="12" t="n"/>
      <c r="O18" s="13">
        <f>IF(OR(L18="",N18=""),"",L18*N18)</f>
        <v/>
      </c>
      <c r="P18" s="11" t="n"/>
    </row>
    <row r="19">
      <c r="A19" s="8" t="n">
        <v>13</v>
      </c>
      <c r="B19" s="8" t="inlineStr">
        <is>
          <t>Seafood</t>
        </is>
      </c>
      <c r="C19" s="9" t="inlineStr">
        <is>
          <t>Tuna, canned (for tonnato)</t>
        </is>
      </c>
      <c r="D19" s="10" t="inlineStr">
        <is>
          <t>In oil</t>
        </is>
      </c>
      <c r="E19" s="8" t="inlineStr">
        <is>
          <t>tin</t>
        </is>
      </c>
      <c r="F19" s="10" t="inlineStr">
        <is>
          <t>Lunch, Dinner, Midweek, Supper Club, Canapés, Functions</t>
        </is>
      </c>
      <c r="G19" s="10" t="inlineStr">
        <is>
          <t>Seared Wagyu Skewers (Lunch); Roast Barramundi (Lunch); Roast Barramundi (Dinner); Seared Wagyu Skewers (Dinner); Seared Wagyu Skewers (Midweek); Roast Barramundi (Midweek); Barramundi Bites (Supper Club); Wagyu Skewers (Supper Club); Wagyu Skewer (Canapés); Barramundi Bite (Canapés); Seared Wagyu Skewers (Functions); Roast Barramundi (Functions)</t>
        </is>
      </c>
      <c r="H19" s="8" t="n">
        <v>12</v>
      </c>
      <c r="I19" s="11" t="n"/>
      <c r="J19" s="11" t="n"/>
      <c r="K19" s="11" t="n"/>
      <c r="L19" s="8">
        <f>IF(OR(J19="",J19=0),"",MAX(J19-N(K19),0))</f>
        <v/>
      </c>
      <c r="M19" s="11" t="n"/>
      <c r="N19" s="12" t="n"/>
      <c r="O19" s="13">
        <f>IF(OR(L19="",N19=""),"",L19*N19)</f>
        <v/>
      </c>
      <c r="P19" s="11" t="n"/>
    </row>
    <row r="20">
      <c r="A20" s="6" t="inlineStr">
        <is>
          <t>Meat &amp; Poultry</t>
        </is>
      </c>
      <c r="B20" s="7" t="n"/>
      <c r="C20" s="7" t="n"/>
      <c r="D20" s="7" t="n"/>
      <c r="E20" s="7" t="n"/>
      <c r="F20" s="7" t="n"/>
      <c r="G20" s="7" t="n"/>
      <c r="H20" s="7" t="n"/>
      <c r="I20" s="7" t="n"/>
      <c r="J20" s="7" t="n"/>
      <c r="K20" s="7" t="n"/>
      <c r="L20" s="7" t="n"/>
      <c r="M20" s="7" t="n"/>
      <c r="N20" s="7" t="n"/>
      <c r="O20" s="7" t="n"/>
      <c r="P20" s="7" t="n"/>
    </row>
    <row r="21">
      <c r="A21" s="8" t="n">
        <v>14</v>
      </c>
      <c r="B21" s="8" t="inlineStr">
        <is>
          <t>Meat &amp; Poultry</t>
        </is>
      </c>
      <c r="C21" s="9" t="inlineStr">
        <is>
          <t>Bacon</t>
        </is>
      </c>
      <c r="D21" s="10" t="inlineStr">
        <is>
          <t>Rindless short cut (breakfast, sides, waffles, benedict)</t>
        </is>
      </c>
      <c r="E21" s="8" t="inlineStr">
        <is>
          <t>kg</t>
        </is>
      </c>
      <c r="F21" s="10" t="inlineStr">
        <is>
          <t>Breakfast</t>
        </is>
      </c>
      <c r="G21" s="10" t="inlineStr">
        <is>
          <t>Double Bacon &amp; Egg Roll (Breakfast); The Real Eggs Benedict (Breakfast); Double Waffles (Breakfast); Kids — Bacon &amp; Egg Roll (Breakfast); The Big Breakfast (Breakfast); Chef's Breakfast (Breakfast); Breakfast Sides (Breakfast)</t>
        </is>
      </c>
      <c r="H21" s="8" t="n">
        <v>7</v>
      </c>
      <c r="I21" s="11" t="n"/>
      <c r="J21" s="11" t="n"/>
      <c r="K21" s="11" t="n"/>
      <c r="L21" s="8">
        <f>IF(OR(J21="",J21=0),"",MAX(J21-N(K21),0))</f>
        <v/>
      </c>
      <c r="M21" s="11" t="n"/>
      <c r="N21" s="12" t="n"/>
      <c r="O21" s="13">
        <f>IF(OR(L21="",N21=""),"",L21*N21)</f>
        <v/>
      </c>
      <c r="P21" s="11" t="n"/>
    </row>
    <row r="22">
      <c r="A22" s="8" t="n">
        <v>15</v>
      </c>
      <c r="B22" s="8" t="inlineStr">
        <is>
          <t>Meat &amp; Poultry</t>
        </is>
      </c>
      <c r="C22" s="9" t="inlineStr">
        <is>
          <t>Pork belly</t>
        </is>
      </c>
      <c r="D22" s="10" t="inlineStr">
        <is>
          <t>Skin on, boneless (glazed, koji, skewers, bánh mì, sides)</t>
        </is>
      </c>
      <c r="E22" s="8" t="inlineStr">
        <is>
          <t>kg</t>
        </is>
      </c>
      <c r="F22" s="10" t="inlineStr">
        <is>
          <t>Breakfast, Lunch, Dinner, Midweek, Supper Club, Canapés, Functions</t>
        </is>
      </c>
      <c r="G22" s="10" t="inlineStr">
        <is>
          <t>The Real Eggs Benedict (Breakfast); Pork Belly Bánh Mì (Breakfast); Chef's Breakfast (Breakfast); Breakfast Sides (Breakfast); Pork Belly Bánh Mì (Lunch); Glazed Pork Belly (Dinner); Pork Belly (main) (Dinner); Glazed Pork Belly (Midweek); Pork Belly (main) (Midweek); Koji Pork Belly (Supper Club); Pork Belly Skewers (Supper Club); Glazed Pork Belly (Supper Club); Glazed Pork Belly (canapé) (Canapés); Glazed Pork Belly (Functions)</t>
        </is>
      </c>
      <c r="H22" s="8" t="n">
        <v>14</v>
      </c>
      <c r="I22" s="11" t="n"/>
      <c r="J22" s="11" t="n"/>
      <c r="K22" s="11" t="n"/>
      <c r="L22" s="8">
        <f>IF(OR(J22="",J22=0),"",MAX(J22-N(K22),0))</f>
        <v/>
      </c>
      <c r="M22" s="11" t="n"/>
      <c r="N22" s="12" t="n"/>
      <c r="O22" s="13">
        <f>IF(OR(L22="",N22=""),"",L22*N22)</f>
        <v/>
      </c>
      <c r="P22" s="11" t="n"/>
    </row>
    <row r="23">
      <c r="A23" s="8" t="n">
        <v>16</v>
      </c>
      <c r="B23" s="8" t="inlineStr">
        <is>
          <t>Meat &amp; Poultry</t>
        </is>
      </c>
      <c r="C23" s="9" t="inlineStr">
        <is>
          <t>Pork sausages</t>
        </is>
      </c>
      <c r="D23" s="10" t="inlineStr">
        <is>
          <t>Breakfast sausage (big breakfast, kids, sides)</t>
        </is>
      </c>
      <c r="E23" s="8" t="inlineStr">
        <is>
          <t>kg</t>
        </is>
      </c>
      <c r="F23" s="10" t="inlineStr">
        <is>
          <t>Breakfast</t>
        </is>
      </c>
      <c r="G23" s="10" t="inlineStr">
        <is>
          <t>Kids — Fried Egg with Sausage (Breakfast); The Big Breakfast (Breakfast); Chef's Breakfast (Breakfast); Breakfast Sides (Breakfast)</t>
        </is>
      </c>
      <c r="H23" s="8" t="n">
        <v>4</v>
      </c>
      <c r="I23" s="11" t="n"/>
      <c r="J23" s="11" t="n"/>
      <c r="K23" s="11" t="n"/>
      <c r="L23" s="8">
        <f>IF(OR(J23="",J23=0),"",MAX(J23-N(K23),0))</f>
        <v/>
      </c>
      <c r="M23" s="11" t="n"/>
      <c r="N23" s="12" t="n"/>
      <c r="O23" s="13">
        <f>IF(OR(L23="",N23=""),"",L23*N23)</f>
        <v/>
      </c>
      <c r="P23" s="11" t="n"/>
    </row>
    <row r="24">
      <c r="A24" s="8" t="n">
        <v>17</v>
      </c>
      <c r="B24" s="8" t="inlineStr">
        <is>
          <t>Meat &amp; Poultry</t>
        </is>
      </c>
      <c r="C24" s="9" t="inlineStr">
        <is>
          <t>Ham, sliced</t>
        </is>
      </c>
      <c r="D24" s="10" t="inlineStr">
        <is>
          <t>Leg ham for croissants</t>
        </is>
      </c>
      <c r="E24" s="8" t="inlineStr">
        <is>
          <t>kg</t>
        </is>
      </c>
      <c r="F24" s="10" t="inlineStr">
        <is>
          <t>Breakfast</t>
        </is>
      </c>
      <c r="G24" s="10" t="inlineStr">
        <is>
          <t>Ham &amp; Cheese Croissant (Breakfast)</t>
        </is>
      </c>
      <c r="H24" s="8" t="n">
        <v>1</v>
      </c>
      <c r="I24" s="11" t="n"/>
      <c r="J24" s="11" t="n"/>
      <c r="K24" s="11" t="n"/>
      <c r="L24" s="8">
        <f>IF(OR(J24="",J24=0),"",MAX(J24-N(K24),0))</f>
        <v/>
      </c>
      <c r="M24" s="11" t="n"/>
      <c r="N24" s="12" t="n"/>
      <c r="O24" s="13">
        <f>IF(OR(L24="",N24=""),"",L24*N24)</f>
        <v/>
      </c>
      <c r="P24" s="11" t="n"/>
    </row>
    <row r="25">
      <c r="A25" s="8" t="n">
        <v>18</v>
      </c>
      <c r="B25" s="8" t="inlineStr">
        <is>
          <t>Meat &amp; Poultry</t>
        </is>
      </c>
      <c r="C25" s="9" t="inlineStr">
        <is>
          <t>Wagyu (steak cut)</t>
        </is>
      </c>
      <c r="D25" s="10" t="inlineStr">
        <is>
          <t>For seared wagyu &amp; eggs + skewers — confirm cut/marble score</t>
        </is>
      </c>
      <c r="E25" s="8" t="inlineStr">
        <is>
          <t>kg</t>
        </is>
      </c>
      <c r="F25" s="10" t="inlineStr">
        <is>
          <t>Breakfast, Lunch, Dinner, Midweek, Supper Club, Canapés, Functions</t>
        </is>
      </c>
      <c r="G25" s="10" t="inlineStr">
        <is>
          <t>Wagyu &amp; Eggs (Breakfast); Seared Wagyu Skewers (Lunch); Seared Wagyu Skewers (Dinner); Seared Wagyu Skewers (Midweek); Wagyu Skewers (Supper Club); Wagyu Skewer (Canapés); Seared Wagyu Skewers (Functions)</t>
        </is>
      </c>
      <c r="H25" s="8" t="n">
        <v>7</v>
      </c>
      <c r="I25" s="11" t="n"/>
      <c r="J25" s="11" t="n"/>
      <c r="K25" s="11" t="n"/>
      <c r="L25" s="8">
        <f>IF(OR(J25="",J25=0),"",MAX(J25-N(K25),0))</f>
        <v/>
      </c>
      <c r="M25" s="11" t="n"/>
      <c r="N25" s="12" t="n"/>
      <c r="O25" s="13">
        <f>IF(OR(L25="",N25=""),"",L25*N25)</f>
        <v/>
      </c>
      <c r="P25" s="11" t="n"/>
    </row>
    <row r="26">
      <c r="A26" s="8" t="n">
        <v>19</v>
      </c>
      <c r="B26" s="8" t="inlineStr">
        <is>
          <t>Meat &amp; Poultry</t>
        </is>
      </c>
      <c r="C26" s="9" t="inlineStr">
        <is>
          <t>Scotch fillet</t>
        </is>
      </c>
      <c r="D26" s="10" t="inlineStr">
        <is>
          <t>Portioned; mains, midweek upgrade, supper club, canapés</t>
        </is>
      </c>
      <c r="E26" s="8" t="inlineStr">
        <is>
          <t>kg</t>
        </is>
      </c>
      <c r="F26" s="10" t="inlineStr">
        <is>
          <t>Lunch, Dinner, Midweek, Supper Club, Canapés</t>
        </is>
      </c>
      <c r="G26" s="10" t="inlineStr">
        <is>
          <t>Scotch Fillet (Lunch); Scotch Fillet (Signature) (Dinner); Add-on: Scotch Fillet Upgrade (Midweek); Steak &amp; Rösti (Supper Club); Scotch Fillet (Canapés)</t>
        </is>
      </c>
      <c r="H26" s="8" t="n">
        <v>5</v>
      </c>
      <c r="I26" s="11" t="n"/>
      <c r="J26" s="11" t="n"/>
      <c r="K26" s="11" t="n"/>
      <c r="L26" s="8">
        <f>IF(OR(J26="",J26=0),"",MAX(J26-N(K26),0))</f>
        <v/>
      </c>
      <c r="M26" s="11" t="n"/>
      <c r="N26" s="12" t="n"/>
      <c r="O26" s="13">
        <f>IF(OR(L26="",N26=""),"",L26*N26)</f>
        <v/>
      </c>
      <c r="P26" s="11" t="n"/>
    </row>
    <row r="27">
      <c r="A27" s="8" t="n">
        <v>20</v>
      </c>
      <c r="B27" s="8" t="inlineStr">
        <is>
          <t>Meat &amp; Poultry</t>
        </is>
      </c>
      <c r="C27" s="9" t="inlineStr">
        <is>
          <t>Lamb shoulder</t>
        </is>
      </c>
      <c r="D27" s="10" t="inlineStr">
        <is>
          <t>Bone in, for BBQ lamb shoulder</t>
        </is>
      </c>
      <c r="E27" s="8" t="inlineStr">
        <is>
          <t>kg</t>
        </is>
      </c>
      <c r="F27" s="10" t="inlineStr">
        <is>
          <t>Lunch, Dinner, Midweek, Supper Club, Canapés, Functions</t>
        </is>
      </c>
      <c r="G27" s="10" t="inlineStr">
        <is>
          <t>BBQ Lamb Shoulder (Lunch); BBQ Lamb Shoulder (Dinner); BBQ Lamb Shoulder (Midweek); BBQ Lamb on Bread (Supper Club); BBQ Lamb Shoulder (Canapés); BBQ Lamb Shoulder (Functions)</t>
        </is>
      </c>
      <c r="H27" s="8" t="n">
        <v>6</v>
      </c>
      <c r="I27" s="11" t="n"/>
      <c r="J27" s="11" t="n"/>
      <c r="K27" s="11" t="n"/>
      <c r="L27" s="8">
        <f>IF(OR(J27="",J27=0),"",MAX(J27-N(K27),0))</f>
        <v/>
      </c>
      <c r="M27" s="11" t="n"/>
      <c r="N27" s="12" t="n"/>
      <c r="O27" s="13">
        <f>IF(OR(L27="",N27=""),"",L27*N27)</f>
        <v/>
      </c>
      <c r="P27" s="11" t="n"/>
    </row>
    <row r="28">
      <c r="A28" s="8" t="n">
        <v>21</v>
      </c>
      <c r="B28" s="8" t="inlineStr">
        <is>
          <t>Meat &amp; Poultry</t>
        </is>
      </c>
      <c r="C28" s="9" t="inlineStr">
        <is>
          <t>Duck legs</t>
        </is>
      </c>
      <c r="D28" s="10" t="inlineStr">
        <is>
          <t>Maryland, for C.F.D. katsu duck</t>
        </is>
      </c>
      <c r="E28" s="8" t="inlineStr">
        <is>
          <t>kg</t>
        </is>
      </c>
      <c r="F28" s="10" t="inlineStr">
        <is>
          <t>Breakfast, Lunch, Dinner, Midweek, Supper Club, Canapés, Functions</t>
        </is>
      </c>
      <c r="G28" s="10" t="inlineStr">
        <is>
          <t>C.F.D. Hash (Breakfast); C.F.D. Katsu Sando (Lunch); C.F.D. Cecilia's Fried Duck (Dinner); C.F.D. Cecilia's Fried Duck (Midweek); Katsu Duck Sando (Supper Club); C.F.D. Bites (Supper Club); C.F.D. Bite (Canapés); C.F.D. Cecilia's Fried Duck (Functions)</t>
        </is>
      </c>
      <c r="H28" s="8" t="n">
        <v>8</v>
      </c>
      <c r="I28" s="11" t="n"/>
      <c r="J28" s="11" t="n"/>
      <c r="K28" s="11" t="n"/>
      <c r="L28" s="8">
        <f>IF(OR(J28="",J28=0),"",MAX(J28-N(K28),0))</f>
        <v/>
      </c>
      <c r="M28" s="11" t="n"/>
      <c r="N28" s="12" t="n"/>
      <c r="O28" s="13">
        <f>IF(OR(L28="",N28=""),"",L28*N28)</f>
        <v/>
      </c>
      <c r="P28" s="11" t="n"/>
    </row>
    <row r="29">
      <c r="A29" s="8" t="n">
        <v>22</v>
      </c>
      <c r="B29" s="8" t="inlineStr">
        <is>
          <t>Meat &amp; Poultry</t>
        </is>
      </c>
      <c r="C29" s="9" t="inlineStr">
        <is>
          <t>Duck fat</t>
        </is>
      </c>
      <c r="D29" s="10" t="inlineStr">
        <is>
          <t>For duck fat corn + rösti</t>
        </is>
      </c>
      <c r="E29" s="8" t="inlineStr">
        <is>
          <t>kg</t>
        </is>
      </c>
      <c r="F29" s="10" t="inlineStr">
        <is>
          <t>Breakfast, Lunch, Dinner, Midweek, Supper Club, Canapés, Functions</t>
        </is>
      </c>
      <c r="G29" s="10" t="inlineStr">
        <is>
          <t>Koji Sunrise (Breakfast); The Big Breakfast (Breakfast); C.F.D. Hash (Breakfast); Chef's Breakfast (Breakfast); Breakfast Sides (Breakfast); Scotch Fillet (Lunch); Sides (Rösti, Greens, Duck Fat Corn, Butternut) (Lunch); C.F.D. Cecilia's Fried Duck (Dinner); Scotch Fillet (Signature) (Dinner); Add-on: Scotch Fillet Upgrade (Midweek); C.F.D. Cecilia's Fried Duck (Midweek); Smoked Salmon Rösti (Supper Club); Steak &amp; Rösti (Supper Club); Duck Fat Corn (Supper Club); Potato Rösti (Supper Club); C.F.D. Bites (Supper Club); C.F.D. Bite (Canapés); Scotch Fillet (Canapés); C.F.D. Cecilia's Fried Duck (Functions)</t>
        </is>
      </c>
      <c r="H29" s="8" t="n">
        <v>19</v>
      </c>
      <c r="I29" s="11" t="n"/>
      <c r="J29" s="11" t="n"/>
      <c r="K29" s="11" t="n"/>
      <c r="L29" s="8">
        <f>IF(OR(J29="",J29=0),"",MAX(J29-N(K29),0))</f>
        <v/>
      </c>
      <c r="M29" s="11" t="n"/>
      <c r="N29" s="12" t="n"/>
      <c r="O29" s="13">
        <f>IF(OR(L29="",N29=""),"",L29*N29)</f>
        <v/>
      </c>
      <c r="P29" s="11" t="n"/>
    </row>
    <row r="30">
      <c r="A30" s="8" t="n">
        <v>23</v>
      </c>
      <c r="B30" s="8" t="inlineStr">
        <is>
          <t>Meat &amp; Poultry</t>
        </is>
      </c>
      <c r="C30" s="9" t="inlineStr">
        <is>
          <t>Beef / veal bones or stock</t>
        </is>
      </c>
      <c r="D30" s="10" t="inlineStr">
        <is>
          <t>For confit garlic jus</t>
        </is>
      </c>
      <c r="E30" s="8" t="inlineStr">
        <is>
          <t>kg</t>
        </is>
      </c>
      <c r="F30" s="10" t="inlineStr">
        <is>
          <t>Lunch, Dinner, Midweek, Supper Club, Canapés</t>
        </is>
      </c>
      <c r="G30" s="10" t="inlineStr">
        <is>
          <t>Scotch Fillet (Lunch); Scotch Fillet (Signature) (Dinner); Add-on: Scotch Fillet Upgrade (Midweek); Steak &amp; Rösti (Supper Club); Scotch Fillet (Canapés)</t>
        </is>
      </c>
      <c r="H30" s="8" t="n">
        <v>5</v>
      </c>
      <c r="I30" s="11" t="n"/>
      <c r="J30" s="11" t="n"/>
      <c r="K30" s="11" t="n"/>
      <c r="L30" s="8">
        <f>IF(OR(J30="",J30=0),"",MAX(J30-N(K30),0))</f>
        <v/>
      </c>
      <c r="M30" s="11" t="n"/>
      <c r="N30" s="12" t="n"/>
      <c r="O30" s="13">
        <f>IF(OR(L30="",N30=""),"",L30*N30)</f>
        <v/>
      </c>
      <c r="P30" s="11" t="n"/>
    </row>
    <row r="31">
      <c r="A31" s="6" t="inlineStr">
        <is>
          <t>Dairy &amp; Eggs</t>
        </is>
      </c>
      <c r="B31" s="7" t="n"/>
      <c r="C31" s="7" t="n"/>
      <c r="D31" s="7" t="n"/>
      <c r="E31" s="7" t="n"/>
      <c r="F31" s="7" t="n"/>
      <c r="G31" s="7" t="n"/>
      <c r="H31" s="7" t="n"/>
      <c r="I31" s="7" t="n"/>
      <c r="J31" s="7" t="n"/>
      <c r="K31" s="7" t="n"/>
      <c r="L31" s="7" t="n"/>
      <c r="M31" s="7" t="n"/>
      <c r="N31" s="7" t="n"/>
      <c r="O31" s="7" t="n"/>
      <c r="P31" s="7" t="n"/>
    </row>
    <row r="32">
      <c r="A32" s="8" t="n">
        <v>24</v>
      </c>
      <c r="B32" s="8" t="inlineStr">
        <is>
          <t>Dairy &amp; Eggs</t>
        </is>
      </c>
      <c r="C32" s="9" t="inlineStr">
        <is>
          <t>Eggs, free range</t>
        </is>
      </c>
      <c r="D32" s="10" t="inlineStr">
        <is>
          <t>Breakfast, hollandaise, katsu crumb, baking, aioli</t>
        </is>
      </c>
      <c r="E32" s="8" t="inlineStr">
        <is>
          <t>tray (30)</t>
        </is>
      </c>
      <c r="F32" s="10" t="inlineStr">
        <is>
          <t>Breakfast, Lunch, Dinner, Midweek, Supper Club, Canapés, Functions</t>
        </is>
      </c>
      <c r="G32" s="10" t="inlineStr">
        <is>
          <t>Double Bacon &amp; Egg Roll (Breakfast); The Real Eggs Benedict (Breakfast); Haloumi &amp; Eggs (Breakfast); Crab Pancake &amp; Eggs (Breakfast); Koji Sunrise (Breakfast); Banana Bread (Breakfast); Double Waffles (Breakfast); Kids — Bacon &amp; Egg Roll (Breakfast); Kids — Fried Egg with Sausage (Breakfast); Kids — Waffles with Ice Cream (Breakfast); The Big Breakfast (Breakfast); Wagyu &amp; Eggs (Breakfast); C.F.D. Hash (Breakfast); Chef's Breakfast (Breakfast); Breakfast Sides (Breakfast); Seared Wagyu Skewers (Lunch); Potato Pancake (Lunch); C.F.D. Katsu Sando (Lunch); Roast Barramundi (Lunch); Seafood Lunch Platter (Lunch); Chef's Cheesecake (Lunch); Roast Barramundi (Dinner); C.F.D. Cecilia's Fried Duck (Dinner); Lobster Bouillabaisse (Dinner); Seafood Platter for Two (Dinner); Seared Wagyu Skewers (Dinner); Potato Pancake (Dinner); Seared Wagyu Skewers (Midweek); Roast Barramundi (Midweek); C.F.D. Cecilia's Fried Duck (Midweek); Chef's Cheesecake (Midweek); Prawns &amp; Rouille (Supper Club); Barramundi Bites (Supper Club); Kataifi Prawns (Supper Club); Katsu Duck Sando (Supper Club); Crab Potato Pancake (Supper Club); Wagyu Skewers (Supper Club); C.F.D. Bites (Supper Club); Chef's Cheesecake (Supper Club); Wagyu Skewer (Canapés); Lobster Bouillabaisse Cup (Canapés); Cheesecake Bite (Canapés); C.F.D. Bite (Canapés); Barramundi Bite (Canapés); Crab Potato Pancake (Canapés); Seared Wagyu Skewers (Functions); Potato Pancake (Functions); Roast Barramundi (Functions); Chef's Cheesecake (Functions); C.F.D. Cecilia's Fried Duck (Functions); Seafood Platter for Two (Functions)</t>
        </is>
      </c>
      <c r="H32" s="8" t="n">
        <v>51</v>
      </c>
      <c r="I32" s="11" t="n"/>
      <c r="J32" s="11" t="n"/>
      <c r="K32" s="11" t="n"/>
      <c r="L32" s="8">
        <f>IF(OR(J32="",J32=0),"",MAX(J32-N(K32),0))</f>
        <v/>
      </c>
      <c r="M32" s="11" t="n"/>
      <c r="N32" s="12" t="n"/>
      <c r="O32" s="13">
        <f>IF(OR(L32="",N32=""),"",L32*N32)</f>
        <v/>
      </c>
      <c r="P32" s="11" t="n"/>
    </row>
    <row r="33">
      <c r="A33" s="8" t="n">
        <v>25</v>
      </c>
      <c r="B33" s="8" t="inlineStr">
        <is>
          <t>Dairy &amp; Eggs</t>
        </is>
      </c>
      <c r="C33" s="9" t="inlineStr">
        <is>
          <t>Butter, unsalted</t>
        </is>
      </c>
      <c r="D33" s="10" t="inlineStr">
        <is>
          <t>Herb butter, hollandaise, toast, baking, lobster</t>
        </is>
      </c>
      <c r="E33" s="8" t="inlineStr">
        <is>
          <t>kg</t>
        </is>
      </c>
      <c r="F33" s="10" t="inlineStr">
        <is>
          <t>Breakfast, Lunch, Dinner, Midweek, Supper Club, Canapés, Functions</t>
        </is>
      </c>
      <c r="G33" s="10" t="inlineStr">
        <is>
          <t>The Real Eggs Benedict (Breakfast); Banana Bread (Breakfast); Raisin Toast (Breakfast); House Bread Toast (Breakfast); Breakfast Sides (Breakfast); House Bread (Lunch); Sides (Rösti, Greens, Duck Fat Corn, Butternut) (Lunch); Chef's Cheesecake (Lunch); Seafood Platter for Two (Dinner); House Bread (Dinner); Add-on: Two Slices House Bread (Midweek); Chef's Cheesecake (Midweek); Potato Rösti (Supper Club); House bread for the table (Supper Club); Chef's Cheesecake (Supper Club); Cheesecake Bite (Canapés); House Bread (Functions); Chef's Cheesecake (Functions); Seafood Platter for Two (Functions)</t>
        </is>
      </c>
      <c r="H33" s="8" t="n">
        <v>19</v>
      </c>
      <c r="I33" s="11" t="n"/>
      <c r="J33" s="11" t="n"/>
      <c r="K33" s="11" t="n"/>
      <c r="L33" s="8">
        <f>IF(OR(J33="",J33=0),"",MAX(J33-N(K33),0))</f>
        <v/>
      </c>
      <c r="M33" s="11" t="n"/>
      <c r="N33" s="12" t="n"/>
      <c r="O33" s="13">
        <f>IF(OR(L33="",N33=""),"",L33*N33)</f>
        <v/>
      </c>
      <c r="P33" s="11" t="n"/>
    </row>
    <row r="34">
      <c r="A34" s="8" t="n">
        <v>26</v>
      </c>
      <c r="B34" s="8" t="inlineStr">
        <is>
          <t>Dairy &amp; Eggs</t>
        </is>
      </c>
      <c r="C34" s="9" t="inlineStr">
        <is>
          <t>Haloumi</t>
        </is>
      </c>
      <c r="D34" s="10" t="inlineStr">
        <is>
          <t>Blocks; kataifi haloumi + breakfast sides</t>
        </is>
      </c>
      <c r="E34" s="8" t="inlineStr">
        <is>
          <t>kg</t>
        </is>
      </c>
      <c r="F34" s="10" t="inlineStr">
        <is>
          <t>Breakfast, Lunch, Dinner, Midweek, Supper Club, Canapés, Functions</t>
        </is>
      </c>
      <c r="G34" s="10" t="inlineStr">
        <is>
          <t>Haloumi &amp; Eggs (Breakfast); Chef's Breakfast (Breakfast); Breakfast Sides (Breakfast); Kataifi-Wrapped Haloumi (Lunch); Kataifi-Wrapped Haloumi (Dinner); Kataifi-Wrapped Haloumi (Midweek); Kataifi Haloumi (Supper Club); Kataifi Haloumi (Canapés); Kataifi-Wrapped Haloumi (Functions)</t>
        </is>
      </c>
      <c r="H34" s="8" t="n">
        <v>9</v>
      </c>
      <c r="I34" s="11" t="n"/>
      <c r="J34" s="11" t="n"/>
      <c r="K34" s="11" t="n"/>
      <c r="L34" s="8">
        <f>IF(OR(J34="",J34=0),"",MAX(J34-N(K34),0))</f>
        <v/>
      </c>
      <c r="M34" s="11" t="n"/>
      <c r="N34" s="12" t="n"/>
      <c r="O34" s="13">
        <f>IF(OR(L34="",N34=""),"",L34*N34)</f>
        <v/>
      </c>
      <c r="P34" s="11" t="n"/>
    </row>
    <row r="35">
      <c r="A35" s="8" t="n">
        <v>27</v>
      </c>
      <c r="B35" s="8" t="inlineStr">
        <is>
          <t>Dairy &amp; Eggs</t>
        </is>
      </c>
      <c r="C35" s="9" t="inlineStr">
        <is>
          <t>Cheese, sliced (tasty/cheddar)</t>
        </is>
      </c>
      <c r="D35" s="10" t="inlineStr">
        <is>
          <t>Egg roll, ham &amp; cheese croissant</t>
        </is>
      </c>
      <c r="E35" s="8" t="inlineStr">
        <is>
          <t>kg</t>
        </is>
      </c>
      <c r="F35" s="10" t="inlineStr">
        <is>
          <t>Breakfast</t>
        </is>
      </c>
      <c r="G35" s="10" t="inlineStr">
        <is>
          <t>Double Bacon &amp; Egg Roll (Breakfast); Ham &amp; Cheese Croissant (Breakfast)</t>
        </is>
      </c>
      <c r="H35" s="8" t="n">
        <v>2</v>
      </c>
      <c r="I35" s="11" t="n"/>
      <c r="J35" s="11" t="n"/>
      <c r="K35" s="11" t="n"/>
      <c r="L35" s="8">
        <f>IF(OR(J35="",J35=0),"",MAX(J35-N(K35),0))</f>
        <v/>
      </c>
      <c r="M35" s="11" t="n"/>
      <c r="N35" s="12" t="n"/>
      <c r="O35" s="13">
        <f>IF(OR(L35="",N35=""),"",L35*N35)</f>
        <v/>
      </c>
      <c r="P35" s="11" t="n"/>
    </row>
    <row r="36">
      <c r="A36" s="8" t="n">
        <v>28</v>
      </c>
      <c r="B36" s="8" t="inlineStr">
        <is>
          <t>Dairy &amp; Eggs</t>
        </is>
      </c>
      <c r="C36" s="9" t="inlineStr">
        <is>
          <t>Cream, thickened</t>
        </is>
      </c>
      <c r="D36" s="10" t="inlineStr">
        <is>
          <t>Sesame cream, ganache, cheesecake</t>
        </is>
      </c>
      <c r="E36" s="8" t="inlineStr">
        <is>
          <t>L</t>
        </is>
      </c>
      <c r="F36" s="10" t="inlineStr">
        <is>
          <t>Lunch, Dinner, Midweek, Supper Club, Canapés, Functions</t>
        </is>
      </c>
      <c r="G36" s="10" t="inlineStr">
        <is>
          <t>Pacific Oysters (Natural / Sesame &amp; Wasabi) (Lunch); Chef's Cheesecake (Lunch); Chocolate Ganache (Lunch); Pacific Oysters (Dinner); Seafood Platter for Two (Dinner); Chef's Cheesecake (Midweek); Chocolate Ganache (Midweek); Smoked Salmon Rösti (Supper Club); Pacific Oysters (Supper Club); Chef's Cheesecake (Supper Club); Chocolate Ganache (Supper Club); Cheesecake Bite (Canapés); Pacific Oyster, Dressed (Canapés); Chocolate Ganache (Canapés); Chef's Cheesecake (Functions); Chocolate Ganache (Functions); Pacific Oysters (Functions); Seafood Platter for Two (Functions)</t>
        </is>
      </c>
      <c r="H36" s="8" t="n">
        <v>18</v>
      </c>
      <c r="I36" s="11" t="n"/>
      <c r="J36" s="11" t="n"/>
      <c r="K36" s="11" t="n"/>
      <c r="L36" s="8">
        <f>IF(OR(J36="",J36=0),"",MAX(J36-N(K36),0))</f>
        <v/>
      </c>
      <c r="M36" s="11" t="n"/>
      <c r="N36" s="12" t="n"/>
      <c r="O36" s="13">
        <f>IF(OR(L36="",N36=""),"",L36*N36)</f>
        <v/>
      </c>
      <c r="P36" s="11" t="n"/>
    </row>
    <row r="37">
      <c r="A37" s="8" t="n">
        <v>29</v>
      </c>
      <c r="B37" s="8" t="inlineStr">
        <is>
          <t>Dairy &amp; Eggs</t>
        </is>
      </c>
      <c r="C37" s="9" t="inlineStr">
        <is>
          <t>Cream cheese</t>
        </is>
      </c>
      <c r="D37" s="10" t="inlineStr">
        <is>
          <t>Chef's cheesecake</t>
        </is>
      </c>
      <c r="E37" s="8" t="inlineStr">
        <is>
          <t>kg</t>
        </is>
      </c>
      <c r="F37" s="10" t="inlineStr">
        <is>
          <t>Lunch, Midweek, Supper Club, Canapés, Functions</t>
        </is>
      </c>
      <c r="G37" s="10" t="inlineStr">
        <is>
          <t>Chef's Cheesecake (Lunch); Chef's Cheesecake (Midweek); Chef's Cheesecake (Supper Club); Cheesecake Bite (Canapés); Chef's Cheesecake (Functions)</t>
        </is>
      </c>
      <c r="H37" s="8" t="n">
        <v>5</v>
      </c>
      <c r="I37" s="11" t="n"/>
      <c r="J37" s="11" t="n"/>
      <c r="K37" s="11" t="n"/>
      <c r="L37" s="8">
        <f>IF(OR(J37="",J37=0),"",MAX(J37-N(K37),0))</f>
        <v/>
      </c>
      <c r="M37" s="11" t="n"/>
      <c r="N37" s="12" t="n"/>
      <c r="O37" s="13">
        <f>IF(OR(L37="",N37=""),"",L37*N37)</f>
        <v/>
      </c>
      <c r="P37" s="11" t="n"/>
    </row>
    <row r="38">
      <c r="A38" s="8" t="n">
        <v>30</v>
      </c>
      <c r="B38" s="8" t="inlineStr">
        <is>
          <t>Dairy &amp; Eggs</t>
        </is>
      </c>
      <c r="C38" s="9" t="inlineStr">
        <is>
          <t>Yoghurt, natural/Greek</t>
        </is>
      </c>
      <c r="D38" s="10" t="inlineStr">
        <is>
          <t>Vanilla yoghurt for granola</t>
        </is>
      </c>
      <c r="E38" s="8" t="inlineStr">
        <is>
          <t>kg</t>
        </is>
      </c>
      <c r="F38" s="10" t="inlineStr">
        <is>
          <t>Breakfast</t>
        </is>
      </c>
      <c r="G38" s="10" t="inlineStr">
        <is>
          <t>Grandma's Granola (Breakfast)</t>
        </is>
      </c>
      <c r="H38" s="8" t="n">
        <v>1</v>
      </c>
      <c r="I38" s="11" t="n"/>
      <c r="J38" s="11" t="n"/>
      <c r="K38" s="11" t="n"/>
      <c r="L38" s="8">
        <f>IF(OR(J38="",J38=0),"",MAX(J38-N(K38),0))</f>
        <v/>
      </c>
      <c r="M38" s="11" t="n"/>
      <c r="N38" s="12" t="n"/>
      <c r="O38" s="13">
        <f>IF(OR(L38="",N38=""),"",L38*N38)</f>
        <v/>
      </c>
      <c r="P38" s="11" t="n"/>
    </row>
    <row r="39">
      <c r="A39" s="8" t="n">
        <v>31</v>
      </c>
      <c r="B39" s="8" t="inlineStr">
        <is>
          <t>Dairy &amp; Eggs</t>
        </is>
      </c>
      <c r="C39" s="9" t="inlineStr">
        <is>
          <t>Milk, full cream</t>
        </is>
      </c>
      <c r="D39" s="10" t="inlineStr">
        <is>
          <t>Waffles, coffee</t>
        </is>
      </c>
      <c r="E39" s="8" t="inlineStr">
        <is>
          <t>L</t>
        </is>
      </c>
      <c r="F39" s="10" t="inlineStr">
        <is>
          <t>Breakfast</t>
        </is>
      </c>
      <c r="G39" s="10" t="inlineStr">
        <is>
          <t>Double Waffles (Breakfast); Kids — Waffles with Ice Cream (Breakfast)</t>
        </is>
      </c>
      <c r="H39" s="8" t="n">
        <v>2</v>
      </c>
      <c r="I39" s="11" t="n"/>
      <c r="J39" s="11" t="n"/>
      <c r="K39" s="11" t="n"/>
      <c r="L39" s="8">
        <f>IF(OR(J39="",J39=0),"",MAX(J39-N(K39),0))</f>
        <v/>
      </c>
      <c r="M39" s="11" t="n"/>
      <c r="N39" s="12" t="n"/>
      <c r="O39" s="13">
        <f>IF(OR(L39="",N39=""),"",L39*N39)</f>
        <v/>
      </c>
      <c r="P39" s="11" t="n"/>
    </row>
    <row r="40">
      <c r="A40" s="8" t="n">
        <v>32</v>
      </c>
      <c r="B40" s="8" t="inlineStr">
        <is>
          <t>Dairy &amp; Eggs</t>
        </is>
      </c>
      <c r="C40" s="9" t="inlineStr">
        <is>
          <t>Vanilla ice cream</t>
        </is>
      </c>
      <c r="D40" s="10" t="inlineStr">
        <is>
          <t>Waffles, kids waffles, affogato — or house-made (see Questions)</t>
        </is>
      </c>
      <c r="E40" s="8" t="inlineStr">
        <is>
          <t>L</t>
        </is>
      </c>
      <c r="F40" s="10" t="inlineStr">
        <is>
          <t>Breakfast, Lunch, Midweek, Supper Club, Canapés</t>
        </is>
      </c>
      <c r="G40" s="10" t="inlineStr">
        <is>
          <t>Double Waffles (Breakfast); Kids — Waffles with Ice Cream (Breakfast); Affogato (Lunch); Affogato (Midweek); Affogato (Supper Club); Affogato Shot (Canapés)</t>
        </is>
      </c>
      <c r="H40" s="8" t="n">
        <v>6</v>
      </c>
      <c r="I40" s="11" t="n"/>
      <c r="J40" s="11" t="n"/>
      <c r="K40" s="11" t="n"/>
      <c r="L40" s="8">
        <f>IF(OR(J40="",J40=0),"",MAX(J40-N(K40),0))</f>
        <v/>
      </c>
      <c r="M40" s="11" t="n"/>
      <c r="N40" s="12" t="n"/>
      <c r="O40" s="13">
        <f>IF(OR(L40="",N40=""),"",L40*N40)</f>
        <v/>
      </c>
      <c r="P40" s="11" t="n"/>
    </row>
    <row r="41">
      <c r="A41" s="6" t="inlineStr">
        <is>
          <t>Tofu &amp; Asian Pantry</t>
        </is>
      </c>
      <c r="B41" s="7" t="n"/>
      <c r="C41" s="7" t="n"/>
      <c r="D41" s="7" t="n"/>
      <c r="E41" s="7" t="n"/>
      <c r="F41" s="7" t="n"/>
      <c r="G41" s="7" t="n"/>
      <c r="H41" s="7" t="n"/>
      <c r="I41" s="7" t="n"/>
      <c r="J41" s="7" t="n"/>
      <c r="K41" s="7" t="n"/>
      <c r="L41" s="7" t="n"/>
      <c r="M41" s="7" t="n"/>
      <c r="N41" s="7" t="n"/>
      <c r="O41" s="7" t="n"/>
      <c r="P41" s="7" t="n"/>
    </row>
    <row r="42">
      <c r="A42" s="8" t="n">
        <v>33</v>
      </c>
      <c r="B42" s="8" t="inlineStr">
        <is>
          <t>Tofu &amp; Asian Pantry</t>
        </is>
      </c>
      <c r="C42" s="9" t="inlineStr">
        <is>
          <t>Firm / silken tofu</t>
        </is>
      </c>
      <c r="D42" s="10" t="inlineStr">
        <is>
          <t>Whipped sesame tofu, sesame tofu, corn &amp; tofu toast, tofu tart</t>
        </is>
      </c>
      <c r="E42" s="8" t="inlineStr">
        <is>
          <t>kg</t>
        </is>
      </c>
      <c r="F42" s="10" t="inlineStr">
        <is>
          <t>Breakfast, Lunch, Dinner, Midweek, Supper Club, Canapés, Functions</t>
        </is>
      </c>
      <c r="G42" s="10" t="inlineStr">
        <is>
          <t>Pork Belly Bánh Mì (Breakfast); The Green Plate (Breakfast); Whipped Sesame Tofu (Lunch); Pork Belly Bánh Mì (Lunch); Glazed Pork Belly (Dinner); Whipped Sesame Tofu (Dinner); Glazed Pork Belly (Midweek); Whipped Sesame Tofu (Midweek); Corn &amp; Tofu Toast (Supper Club); Glazed Pork Belly (Supper Club); Whipped Sesame Tofu (Supper Club); Sesame Tofu Tart (Canapés); Glazed Pork Belly (Functions); Whipped Sesame Tofu (Functions)</t>
        </is>
      </c>
      <c r="H42" s="8" t="n">
        <v>14</v>
      </c>
      <c r="I42" s="11" t="n"/>
      <c r="J42" s="11" t="n"/>
      <c r="K42" s="11" t="n"/>
      <c r="L42" s="8">
        <f>IF(OR(J42="",J42=0),"",MAX(J42-N(K42),0))</f>
        <v/>
      </c>
      <c r="M42" s="11" t="n"/>
      <c r="N42" s="12" t="n"/>
      <c r="O42" s="13">
        <f>IF(OR(L42="",N42=""),"",L42*N42)</f>
        <v/>
      </c>
      <c r="P42" s="11" t="n"/>
    </row>
    <row r="43">
      <c r="A43" s="8" t="n">
        <v>34</v>
      </c>
      <c r="B43" s="8" t="inlineStr">
        <is>
          <t>Tofu &amp; Asian Pantry</t>
        </is>
      </c>
      <c r="C43" s="9" t="inlineStr">
        <is>
          <t>Shiro koji (rice koji)</t>
        </is>
      </c>
      <c r="D43" s="10" t="inlineStr">
        <is>
          <t>Koji apples</t>
        </is>
      </c>
      <c r="E43" s="8" t="inlineStr">
        <is>
          <t>kg</t>
        </is>
      </c>
      <c r="F43" s="10" t="inlineStr">
        <is>
          <t>Breakfast, Dinner, Midweek, Supper Club</t>
        </is>
      </c>
      <c r="G43" s="10" t="inlineStr">
        <is>
          <t>Koji Sunrise (Breakfast); Pork Belly (main) (Dinner); Pork Belly (main) (Midweek); Koji Pork Belly (Supper Club)</t>
        </is>
      </c>
      <c r="H43" s="8" t="n">
        <v>4</v>
      </c>
      <c r="I43" s="11" t="n"/>
      <c r="J43" s="11" t="n"/>
      <c r="K43" s="11" t="n"/>
      <c r="L43" s="8">
        <f>IF(OR(J43="",J43=0),"",MAX(J43-N(K43),0))</f>
        <v/>
      </c>
      <c r="M43" s="11" t="n"/>
      <c r="N43" s="12" t="n"/>
      <c r="O43" s="13">
        <f>IF(OR(L43="",N43=""),"",L43*N43)</f>
        <v/>
      </c>
      <c r="P43" s="11" t="n"/>
    </row>
    <row r="44">
      <c r="A44" s="8" t="n">
        <v>35</v>
      </c>
      <c r="B44" s="8" t="inlineStr">
        <is>
          <t>Tofu &amp; Asian Pantry</t>
        </is>
      </c>
      <c r="C44" s="9" t="inlineStr">
        <is>
          <t>White sesame seeds</t>
        </is>
      </c>
      <c r="D44" s="10" t="inlineStr">
        <is>
          <t>Throughout</t>
        </is>
      </c>
      <c r="E44" s="8" t="inlineStr">
        <is>
          <t>kg</t>
        </is>
      </c>
      <c r="F44" s="10" t="inlineStr">
        <is>
          <t>Breakfast, Lunch, Dinner, Midweek, Supper Club, Canapés, Functions</t>
        </is>
      </c>
      <c r="G44" s="10" t="inlineStr">
        <is>
          <t>Pork Belly Bánh Mì (Breakfast); The Green Plate (Breakfast); Tuna Crudo (Lunch); Seared Wagyu Skewers (Lunch); Pork Belly Bánh Mì (Lunch); Confit Summer Squash (Dinner); Tuna Crudo (Dinner); Seared Wagyu Skewers (Dinner); Tuna Crudo (Midweek); Seared Wagyu Skewers (Midweek); Confit Summer Squash (Midweek); Duck Fat Corn (Supper Club); Pork Belly Skewers (Supper Club); Charred Butternut (Supper Club); Green Mango Salad (Supper Club); Summer Squash Crudo (Supper Club); Tuna Crudo (Supper Club); Wagyu Skewers (Supper Club); Confit Squash (Supper Club); Tuna Crudo Spoon (Canapés); Wagyu Skewer (Canapés); Confit Squash (Canapés); Tuna Crudo (Functions); Seared Wagyu Skewers (Functions)</t>
        </is>
      </c>
      <c r="H44" s="8" t="n">
        <v>24</v>
      </c>
      <c r="I44" s="11" t="n"/>
      <c r="J44" s="11" t="n"/>
      <c r="K44" s="11" t="n"/>
      <c r="L44" s="8">
        <f>IF(OR(J44="",J44=0),"",MAX(J44-N(K44),0))</f>
        <v/>
      </c>
      <c r="M44" s="11" t="n"/>
      <c r="N44" s="12" t="n"/>
      <c r="O44" s="13">
        <f>IF(OR(L44="",N44=""),"",L44*N44)</f>
        <v/>
      </c>
      <c r="P44" s="11" t="n"/>
    </row>
    <row r="45">
      <c r="A45" s="8" t="n">
        <v>36</v>
      </c>
      <c r="B45" s="8" t="inlineStr">
        <is>
          <t>Tofu &amp; Asian Pantry</t>
        </is>
      </c>
      <c r="C45" s="9" t="inlineStr">
        <is>
          <t>Black sesame seeds</t>
        </is>
      </c>
      <c r="D45" s="10" t="inlineStr">
        <is>
          <t>Garnish / furikake</t>
        </is>
      </c>
      <c r="E45" s="8" t="inlineStr">
        <is>
          <t>kg</t>
        </is>
      </c>
      <c r="F45" s="10" t="inlineStr">
        <is>
          <t>Lunch, Dinner, Midweek, Supper Club, Canapés, Functions</t>
        </is>
      </c>
      <c r="G45" s="10" t="inlineStr">
        <is>
          <t>Tuna Crudo (Lunch); Confit Summer Squash (Dinner); Tuna Crudo (Dinner); Tuna Crudo (Midweek); Confit Summer Squash (Midweek); Summer Squash Crudo (Supper Club); Tuna Crudo (Supper Club); Confit Squash (Supper Club); Tuna Crudo Spoon (Canapés); Confit Squash (Canapés); Tuna Crudo (Functions)</t>
        </is>
      </c>
      <c r="H45" s="8" t="n">
        <v>11</v>
      </c>
      <c r="I45" s="11" t="n"/>
      <c r="J45" s="11" t="n"/>
      <c r="K45" s="11" t="n"/>
      <c r="L45" s="8">
        <f>IF(OR(J45="",J45=0),"",MAX(J45-N(K45),0))</f>
        <v/>
      </c>
      <c r="M45" s="11" t="n"/>
      <c r="N45" s="12" t="n"/>
      <c r="O45" s="13">
        <f>IF(OR(L45="",N45=""),"",L45*N45)</f>
        <v/>
      </c>
      <c r="P45" s="11" t="n"/>
    </row>
    <row r="46">
      <c r="A46" s="8" t="n">
        <v>37</v>
      </c>
      <c r="B46" s="8" t="inlineStr">
        <is>
          <t>Tofu &amp; Asian Pantry</t>
        </is>
      </c>
      <c r="C46" s="9" t="inlineStr">
        <is>
          <t>Tahini / sesame paste</t>
        </is>
      </c>
      <c r="D46" s="10" t="inlineStr">
        <is>
          <t>Sesame cream, whipped tofu</t>
        </is>
      </c>
      <c r="E46" s="8" t="inlineStr">
        <is>
          <t>kg</t>
        </is>
      </c>
      <c r="F46" s="10" t="inlineStr">
        <is>
          <t>Lunch, Dinner, Midweek, Supper Club, Canapés, Functions</t>
        </is>
      </c>
      <c r="G46" s="10" t="inlineStr">
        <is>
          <t>Pacific Oysters (Natural / Sesame &amp; Wasabi) (Lunch); Whipped Sesame Tofu (Lunch); Pacific Oysters (Dinner); Glazed Pork Belly (Dinner); Whipped Sesame Tofu (Dinner); Seafood Platter for Two (Dinner); Glazed Pork Belly (Midweek); Whipped Sesame Tofu (Midweek); Smoked Salmon Rösti (Supper Club); Pacific Oysters (Supper Club); Glazed Pork Belly (Supper Club); Whipped Sesame Tofu (Supper Club); Sesame Tofu Tart (Canapés); Pacific Oyster, Dressed (Canapés); Pacific Oysters (Functions); Glazed Pork Belly (Functions); Whipped Sesame Tofu (Functions); Seafood Platter for Two (Functions)</t>
        </is>
      </c>
      <c r="H46" s="8" t="n">
        <v>18</v>
      </c>
      <c r="I46" s="11" t="n"/>
      <c r="J46" s="11" t="n"/>
      <c r="K46" s="11" t="n"/>
      <c r="L46" s="8">
        <f>IF(OR(J46="",J46=0),"",MAX(J46-N(K46),0))</f>
        <v/>
      </c>
      <c r="M46" s="11" t="n"/>
      <c r="N46" s="12" t="n"/>
      <c r="O46" s="13">
        <f>IF(OR(L46="",N46=""),"",L46*N46)</f>
        <v/>
      </c>
      <c r="P46" s="11" t="n"/>
    </row>
    <row r="47">
      <c r="A47" s="8" t="n">
        <v>38</v>
      </c>
      <c r="B47" s="8" t="inlineStr">
        <is>
          <t>Tofu &amp; Asian Pantry</t>
        </is>
      </c>
      <c r="C47" s="9" t="inlineStr">
        <is>
          <t>Sesame oil</t>
        </is>
      </c>
      <c r="D47" s="10" t="inlineStr">
        <is>
          <t>Dressings</t>
        </is>
      </c>
      <c r="E47" s="8" t="inlineStr">
        <is>
          <t>L</t>
        </is>
      </c>
      <c r="F47" s="10" t="inlineStr"/>
      <c r="G47" s="10" t="inlineStr"/>
      <c r="H47" s="8" t="n">
        <v>0</v>
      </c>
      <c r="I47" s="11" t="n"/>
      <c r="J47" s="11" t="n"/>
      <c r="K47" s="11" t="n"/>
      <c r="L47" s="8">
        <f>IF(OR(J47="",J47=0),"",MAX(J47-N(K47),0))</f>
        <v/>
      </c>
      <c r="M47" s="11" t="n"/>
      <c r="N47" s="12" t="n"/>
      <c r="O47" s="13">
        <f>IF(OR(L47="",N47=""),"",L47*N47)</f>
        <v/>
      </c>
      <c r="P47" s="11" t="n"/>
    </row>
    <row r="48">
      <c r="A48" s="8" t="n">
        <v>39</v>
      </c>
      <c r="B48" s="8" t="inlineStr">
        <is>
          <t>Tofu &amp; Asian Pantry</t>
        </is>
      </c>
      <c r="C48" s="9" t="inlineStr">
        <is>
          <t>Yuzu juice</t>
        </is>
      </c>
      <c r="D48" s="10" t="inlineStr">
        <is>
          <t>Pon cham, yuzu dressings, oysters</t>
        </is>
      </c>
      <c r="E48" s="8" t="inlineStr">
        <is>
          <t>L</t>
        </is>
      </c>
      <c r="F48" s="10" t="inlineStr">
        <is>
          <t>Lunch, Dinner, Midweek, Supper Club, Canapés, Functions</t>
        </is>
      </c>
      <c r="G48" s="10" t="inlineStr">
        <is>
          <t>Kataifi-Wrapped Haloumi (Lunch); Tuna Crudo (Lunch); Confit Summer Squash (Lunch); Seafood Lunch Platter (Lunch); BBQ Lamb Shoulder (Dinner); Pork Belly (main) (Dinner); Confit Summer Squash (Dinner); Kataifi-Wrapped Haloumi (Dinner); Tuna Crudo (Dinner); Kataifi-Wrapped Haloumi (Midweek); Tuna Crudo (Midweek); BBQ Lamb Shoulder (Midweek); Pork Belly (main) (Midweek); Confit Summer Squash (Midweek); Kataifi Prawns (Supper Club); Koji Pork Belly (Supper Club); Pork Belly Skewers (Supper Club); Blistered Shishito (Supper Club); Summer Squash Crudo (Supper Club); Tuna Crudo (Supper Club); Kataifi Haloumi (Supper Club); Confit Squash (Supper Club); Pacific Oyster, Natural (Yuzu) (Canapés); Tuna Crudo Spoon (Canapés); Kataifi Haloumi (Canapés); Confit Squash (Canapés); BBQ Lamb Shoulder (Canapés); Kataifi-Wrapped Haloumi (Functions); Tuna Crudo (Functions)</t>
        </is>
      </c>
      <c r="H48" s="8" t="n">
        <v>29</v>
      </c>
      <c r="I48" s="11" t="n"/>
      <c r="J48" s="11" t="n"/>
      <c r="K48" s="11" t="n"/>
      <c r="L48" s="8">
        <f>IF(OR(J48="",J48=0),"",MAX(J48-N(K48),0))</f>
        <v/>
      </c>
      <c r="M48" s="11" t="n"/>
      <c r="N48" s="12" t="n"/>
      <c r="O48" s="13">
        <f>IF(OR(L48="",N48=""),"",L48*N48)</f>
        <v/>
      </c>
      <c r="P48" s="11" t="n"/>
    </row>
    <row r="49">
      <c r="A49" s="8" t="n">
        <v>40</v>
      </c>
      <c r="B49" s="8" t="inlineStr">
        <is>
          <t>Tofu &amp; Asian Pantry</t>
        </is>
      </c>
      <c r="C49" s="9" t="inlineStr">
        <is>
          <t>Soy sauce</t>
        </is>
      </c>
      <c r="D49" s="10" t="inlineStr">
        <is>
          <t>Pon cham</t>
        </is>
      </c>
      <c r="E49" s="8" t="inlineStr">
        <is>
          <t>L</t>
        </is>
      </c>
      <c r="F49" s="10" t="inlineStr">
        <is>
          <t>Lunch, Dinner, Midweek, Supper Club, Canapés, Functions</t>
        </is>
      </c>
      <c r="G49" s="10" t="inlineStr">
        <is>
          <t>Tuna Crudo (Lunch); Confit Summer Squash (Lunch); Seafood Lunch Platter (Lunch); Pork Belly (main) (Dinner); Confit Summer Squash (Dinner); Tuna Crudo (Dinner); Tuna Crudo (Midweek); Pork Belly (main) (Midweek); Confit Summer Squash (Midweek); Koji Pork Belly (Supper Club); Pork Belly Skewers (Supper Club); Tuna Crudo (Supper Club); Confit Squash (Supper Club); Tuna Crudo Spoon (Canapés); Confit Squash (Canapés); Tuna Crudo (Functions)</t>
        </is>
      </c>
      <c r="H49" s="8" t="n">
        <v>16</v>
      </c>
      <c r="I49" s="11" t="n"/>
      <c r="J49" s="11" t="n"/>
      <c r="K49" s="11" t="n"/>
      <c r="L49" s="8">
        <f>IF(OR(J49="",J49=0),"",MAX(J49-N(K49),0))</f>
        <v/>
      </c>
      <c r="M49" s="11" t="n"/>
      <c r="N49" s="12" t="n"/>
      <c r="O49" s="13">
        <f>IF(OR(L49="",N49=""),"",L49*N49)</f>
        <v/>
      </c>
      <c r="P49" s="11" t="n"/>
    </row>
    <row r="50">
      <c r="A50" s="8" t="n">
        <v>41</v>
      </c>
      <c r="B50" s="8" t="inlineStr">
        <is>
          <t>Tofu &amp; Asian Pantry</t>
        </is>
      </c>
      <c r="C50" s="9" t="inlineStr">
        <is>
          <t>Mirin</t>
        </is>
      </c>
      <c r="D50" s="10" t="inlineStr">
        <is>
          <t>Pon cham, glazes</t>
        </is>
      </c>
      <c r="E50" s="8" t="inlineStr">
        <is>
          <t>L</t>
        </is>
      </c>
      <c r="F50" s="10" t="inlineStr">
        <is>
          <t>Lunch, Dinner, Midweek, Supper Club, Canapés, Functions</t>
        </is>
      </c>
      <c r="G50" s="10" t="inlineStr">
        <is>
          <t>Tuna Crudo (Lunch); Confit Summer Squash (Lunch); Seafood Lunch Platter (Lunch); Pork Belly (main) (Dinner); Confit Summer Squash (Dinner); Tuna Crudo (Dinner); Tuna Crudo (Midweek); Pork Belly (main) (Midweek); Confit Summer Squash (Midweek); Koji Pork Belly (Supper Club); Pork Belly Skewers (Supper Club); Tuna Crudo (Supper Club); Confit Squash (Supper Club); Tuna Crudo Spoon (Canapés); Confit Squash (Canapés); Tuna Crudo (Functions)</t>
        </is>
      </c>
      <c r="H50" s="8" t="n">
        <v>16</v>
      </c>
      <c r="I50" s="11" t="n"/>
      <c r="J50" s="11" t="n"/>
      <c r="K50" s="11" t="n"/>
      <c r="L50" s="8">
        <f>IF(OR(J50="",J50=0),"",MAX(J50-N(K50),0))</f>
        <v/>
      </c>
      <c r="M50" s="11" t="n"/>
      <c r="N50" s="12" t="n"/>
      <c r="O50" s="13">
        <f>IF(OR(L50="",N50=""),"",L50*N50)</f>
        <v/>
      </c>
      <c r="P50" s="11" t="n"/>
    </row>
    <row r="51">
      <c r="A51" s="8" t="n">
        <v>42</v>
      </c>
      <c r="B51" s="8" t="inlineStr">
        <is>
          <t>Tofu &amp; Asian Pantry</t>
        </is>
      </c>
      <c r="C51" s="9" t="inlineStr">
        <is>
          <t>Rice vinegar</t>
        </is>
      </c>
      <c r="D51" s="10" t="inlineStr">
        <is>
          <t>Pickles, cham, dressings</t>
        </is>
      </c>
      <c r="E51" s="8" t="inlineStr">
        <is>
          <t>L</t>
        </is>
      </c>
      <c r="F51" s="10" t="inlineStr">
        <is>
          <t>Breakfast, Lunch, Dinner, Midweek, Supper Club, Canapés, Functions</t>
        </is>
      </c>
      <c r="G51" s="10" t="inlineStr">
        <is>
          <t>Double Bacon &amp; Egg Roll (Breakfast); The Green Plate (Breakfast); Tuna Crudo (Lunch); Whipped Sesame Tofu (Lunch); Confit Summer Squash (Lunch); Seafood Lunch Platter (Lunch); Whipped Sesame Tofu (Dinner); Pork Belly (main) (Dinner); Confit Summer Squash (Dinner); Tuna Crudo (Dinner); Tuna Crudo (Midweek); Whipped Sesame Tofu (Midweek); Pork Belly (main) (Midweek); Confit Summer Squash (Midweek); Koji Pork Belly (Supper Club); Pork Belly Skewers (Supper Club); Tuna Crudo (Supper Club); Whipped Sesame Tofu (Supper Club); Confit Squash (Supper Club); Sesame Tofu Tart (Canapés); Tuna Crudo Spoon (Canapés); Confit Squash (Canapés); Tuna Crudo (Functions); Whipped Sesame Tofu (Functions)</t>
        </is>
      </c>
      <c r="H51" s="8" t="n">
        <v>24</v>
      </c>
      <c r="I51" s="11" t="n"/>
      <c r="J51" s="11" t="n"/>
      <c r="K51" s="11" t="n"/>
      <c r="L51" s="8">
        <f>IF(OR(J51="",J51=0),"",MAX(J51-N(K51),0))</f>
        <v/>
      </c>
      <c r="M51" s="11" t="n"/>
      <c r="N51" s="12" t="n"/>
      <c r="O51" s="13">
        <f>IF(OR(L51="",N51=""),"",L51*N51)</f>
        <v/>
      </c>
      <c r="P51" s="11" t="n"/>
    </row>
    <row r="52">
      <c r="A52" s="8" t="n">
        <v>43</v>
      </c>
      <c r="B52" s="8" t="inlineStr">
        <is>
          <t>Tofu &amp; Asian Pantry</t>
        </is>
      </c>
      <c r="C52" s="9" t="inlineStr">
        <is>
          <t>Fish sauce</t>
        </is>
      </c>
      <c r="D52" s="10" t="inlineStr">
        <is>
          <t>Cham, sambal</t>
        </is>
      </c>
      <c r="E52" s="8" t="inlineStr">
        <is>
          <t>L</t>
        </is>
      </c>
      <c r="F52" s="10" t="inlineStr">
        <is>
          <t>Breakfast, Lunch, Dinner, Midweek, Supper Club, Canapés, Functions</t>
        </is>
      </c>
      <c r="G52" s="10" t="inlineStr">
        <is>
          <t>Haloumi &amp; Eggs (Breakfast); C.F.D. Hash (Breakfast); Kataifi-Wrapped Haloumi (Lunch); Tuna Crudo (Lunch); C.F.D. Katsu Sando (Lunch); Confit Summer Squash (Lunch); Seafood Lunch Platter (Lunch); Pork Belly (main) (Dinner); C.F.D. Cecilia's Fried Duck (Dinner); Confit Summer Squash (Dinner); Kataifi-Wrapped Haloumi (Dinner); Tuna Crudo (Dinner); Kataifi-Wrapped Haloumi (Midweek); Tuna Crudo (Midweek); Pork Belly (main) (Midweek); C.F.D. Cecilia's Fried Duck (Midweek); Confit Summer Squash (Midweek); Koji Pork Belly (Supper Club); Katsu Duck Sando (Supper Club); Pork Belly Skewers (Supper Club); Tuna Crudo (Supper Club); C.F.D. Bites (Supper Club); Kataifi Haloumi (Supper Club); Confit Squash (Supper Club); Tuna Crudo Spoon (Canapés); Kataifi Haloumi (Canapés); Confit Squash (Canapés); C.F.D. Bite (Canapés); Kataifi-Wrapped Haloumi (Functions); Tuna Crudo (Functions); C.F.D. Cecilia's Fried Duck (Functions)</t>
        </is>
      </c>
      <c r="H52" s="8" t="n">
        <v>31</v>
      </c>
      <c r="I52" s="11" t="n"/>
      <c r="J52" s="11" t="n"/>
      <c r="K52" s="11" t="n"/>
      <c r="L52" s="8">
        <f>IF(OR(J52="",J52=0),"",MAX(J52-N(K52),0))</f>
        <v/>
      </c>
      <c r="M52" s="11" t="n"/>
      <c r="N52" s="12" t="n"/>
      <c r="O52" s="13">
        <f>IF(OR(L52="",N52=""),"",L52*N52)</f>
        <v/>
      </c>
      <c r="P52" s="11" t="n"/>
    </row>
    <row r="53">
      <c r="A53" s="8" t="n">
        <v>44</v>
      </c>
      <c r="B53" s="8" t="inlineStr">
        <is>
          <t>Tofu &amp; Asian Pantry</t>
        </is>
      </c>
      <c r="C53" s="9" t="inlineStr">
        <is>
          <t>Kombu</t>
        </is>
      </c>
      <c r="D53" s="10" t="inlineStr">
        <is>
          <t>Dashi</t>
        </is>
      </c>
      <c r="E53" s="8" t="inlineStr">
        <is>
          <t>kg</t>
        </is>
      </c>
      <c r="F53" s="10" t="inlineStr">
        <is>
          <t>Dinner, Supper Club, Canapés</t>
        </is>
      </c>
      <c r="G53" s="10" t="inlineStr">
        <is>
          <t>Lobster Bouillabaisse (Dinner); Bouillabaisse Cup (Supper Club); Lobster Bouillabaisse Cup (Canapés)</t>
        </is>
      </c>
      <c r="H53" s="8" t="n">
        <v>3</v>
      </c>
      <c r="I53" s="11" t="n"/>
      <c r="J53" s="11" t="n"/>
      <c r="K53" s="11" t="n"/>
      <c r="L53" s="8">
        <f>IF(OR(J53="",J53=0),"",MAX(J53-N(K53),0))</f>
        <v/>
      </c>
      <c r="M53" s="11" t="n"/>
      <c r="N53" s="12" t="n"/>
      <c r="O53" s="13">
        <f>IF(OR(L53="",N53=""),"",L53*N53)</f>
        <v/>
      </c>
      <c r="P53" s="11" t="n"/>
    </row>
    <row r="54">
      <c r="A54" s="8" t="n">
        <v>45</v>
      </c>
      <c r="B54" s="8" t="inlineStr">
        <is>
          <t>Tofu &amp; Asian Pantry</t>
        </is>
      </c>
      <c r="C54" s="9" t="inlineStr">
        <is>
          <t>Bonito flakes (katsuobushi)</t>
        </is>
      </c>
      <c r="D54" s="10" t="inlineStr">
        <is>
          <t>Dashi, furikake</t>
        </is>
      </c>
      <c r="E54" s="8" t="inlineStr">
        <is>
          <t>kg</t>
        </is>
      </c>
      <c r="F54" s="10" t="inlineStr">
        <is>
          <t>Lunch, Dinner, Midweek, Supper Club, Canapés, Functions</t>
        </is>
      </c>
      <c r="G54" s="10" t="inlineStr">
        <is>
          <t>Tuna Crudo (Lunch); Confit Summer Squash (Dinner); Lobster Bouillabaisse (Dinner); Tuna Crudo (Dinner); Tuna Crudo (Midweek); Confit Summer Squash (Midweek); Bouillabaisse Cup (Supper Club); Summer Squash Crudo (Supper Club); Tuna Crudo (Supper Club); Confit Squash (Supper Club); Tuna Crudo Spoon (Canapés); Lobster Bouillabaisse Cup (Canapés); Confit Squash (Canapés); Tuna Crudo (Functions)</t>
        </is>
      </c>
      <c r="H54" s="8" t="n">
        <v>14</v>
      </c>
      <c r="I54" s="11" t="n"/>
      <c r="J54" s="11" t="n"/>
      <c r="K54" s="11" t="n"/>
      <c r="L54" s="8">
        <f>IF(OR(J54="",J54=0),"",MAX(J54-N(K54),0))</f>
        <v/>
      </c>
      <c r="M54" s="11" t="n"/>
      <c r="N54" s="12" t="n"/>
      <c r="O54" s="13">
        <f>IF(OR(L54="",N54=""),"",L54*N54)</f>
        <v/>
      </c>
      <c r="P54" s="11" t="n"/>
    </row>
    <row r="55">
      <c r="A55" s="8" t="n">
        <v>46</v>
      </c>
      <c r="B55" s="8" t="inlineStr">
        <is>
          <t>Tofu &amp; Asian Pantry</t>
        </is>
      </c>
      <c r="C55" s="9" t="inlineStr">
        <is>
          <t>Nori sheets</t>
        </is>
      </c>
      <c r="D55" s="10" t="inlineStr">
        <is>
          <t>Olive furikake</t>
        </is>
      </c>
      <c r="E55" s="8" t="inlineStr">
        <is>
          <t>pack</t>
        </is>
      </c>
      <c r="F55" s="10" t="inlineStr">
        <is>
          <t>Lunch, Dinner, Midweek, Supper Club, Canapés, Functions</t>
        </is>
      </c>
      <c r="G55" s="10" t="inlineStr">
        <is>
          <t>Tuna Crudo (Lunch); Confit Summer Squash (Dinner); Tuna Crudo (Dinner); Tuna Crudo (Midweek); Confit Summer Squash (Midweek); Summer Squash Crudo (Supper Club); Tuna Crudo (Supper Club); Confit Squash (Supper Club); Tuna Crudo Spoon (Canapés); Confit Squash (Canapés); Tuna Crudo (Functions)</t>
        </is>
      </c>
      <c r="H55" s="8" t="n">
        <v>11</v>
      </c>
      <c r="I55" s="11" t="n"/>
      <c r="J55" s="11" t="n"/>
      <c r="K55" s="11" t="n"/>
      <c r="L55" s="8">
        <f>IF(OR(J55="",J55=0),"",MAX(J55-N(K55),0))</f>
        <v/>
      </c>
      <c r="M55" s="11" t="n"/>
      <c r="N55" s="12" t="n"/>
      <c r="O55" s="13">
        <f>IF(OR(L55="",N55=""),"",L55*N55)</f>
        <v/>
      </c>
      <c r="P55" s="11" t="n"/>
    </row>
    <row r="56">
      <c r="A56" s="8" t="n">
        <v>47</v>
      </c>
      <c r="B56" s="8" t="inlineStr">
        <is>
          <t>Tofu &amp; Asian Pantry</t>
        </is>
      </c>
      <c r="C56" s="9" t="inlineStr">
        <is>
          <t>Tonkatsu sauce (or base ingredients)</t>
        </is>
      </c>
      <c r="D56" s="10" t="inlineStr">
        <is>
          <t>Tonkatsu cham</t>
        </is>
      </c>
      <c r="E56" s="8" t="inlineStr">
        <is>
          <t>L</t>
        </is>
      </c>
      <c r="F56" s="10" t="inlineStr">
        <is>
          <t>Breakfast, Lunch, Dinner, Midweek, Supper Club, Canapés, Functions</t>
        </is>
      </c>
      <c r="G56" s="10" t="inlineStr">
        <is>
          <t>C.F.D. Hash (Breakfast); C.F.D. Katsu Sando (Lunch); C.F.D. Cecilia's Fried Duck (Dinner); C.F.D. Cecilia's Fried Duck (Midweek); Katsu Duck Sando (Supper Club); C.F.D. Bites (Supper Club); C.F.D. Bite (Canapés); C.F.D. Cecilia's Fried Duck (Functions)</t>
        </is>
      </c>
      <c r="H56" s="8" t="n">
        <v>8</v>
      </c>
      <c r="I56" s="11" t="n"/>
      <c r="J56" s="11" t="n"/>
      <c r="K56" s="11" t="n"/>
      <c r="L56" s="8">
        <f>IF(OR(J56="",J56=0),"",MAX(J56-N(K56),0))</f>
        <v/>
      </c>
      <c r="M56" s="11" t="n"/>
      <c r="N56" s="12" t="n"/>
      <c r="O56" s="13">
        <f>IF(OR(L56="",N56=""),"",L56*N56)</f>
        <v/>
      </c>
      <c r="P56" s="11" t="n"/>
    </row>
    <row r="57">
      <c r="A57" s="8" t="n">
        <v>48</v>
      </c>
      <c r="B57" s="8" t="inlineStr">
        <is>
          <t>Tofu &amp; Asian Pantry</t>
        </is>
      </c>
      <c r="C57" s="9" t="inlineStr">
        <is>
          <t>Panko breadcrumbs</t>
        </is>
      </c>
      <c r="D57" s="10" t="inlineStr">
        <is>
          <t>Katsu duck</t>
        </is>
      </c>
      <c r="E57" s="8" t="inlineStr">
        <is>
          <t>kg</t>
        </is>
      </c>
      <c r="F57" s="10" t="inlineStr">
        <is>
          <t>Breakfast, Lunch, Dinner, Midweek, Supper Club, Canapés, Functions</t>
        </is>
      </c>
      <c r="G57" s="10" t="inlineStr">
        <is>
          <t>C.F.D. Hash (Breakfast); C.F.D. Katsu Sando (Lunch); White Anchovies (Dinner); C.F.D. Cecilia's Fried Duck (Dinner); C.F.D. Cecilia's Fried Duck (Midweek); Katsu Duck Sando (Supper Club); C.F.D. Bites (Supper Club); White Anchovy Toast (Canapés); C.F.D. Bite (Canapés); C.F.D. Cecilia's Fried Duck (Functions)</t>
        </is>
      </c>
      <c r="H57" s="8" t="n">
        <v>10</v>
      </c>
      <c r="I57" s="11" t="n"/>
      <c r="J57" s="11" t="n"/>
      <c r="K57" s="11" t="n"/>
      <c r="L57" s="8">
        <f>IF(OR(J57="",J57=0),"",MAX(J57-N(K57),0))</f>
        <v/>
      </c>
      <c r="M57" s="11" t="n"/>
      <c r="N57" s="12" t="n"/>
      <c r="O57" s="13">
        <f>IF(OR(L57="",N57=""),"",L57*N57)</f>
        <v/>
      </c>
      <c r="P57" s="11" t="n"/>
    </row>
    <row r="58">
      <c r="A58" s="8" t="n">
        <v>49</v>
      </c>
      <c r="B58" s="8" t="inlineStr">
        <is>
          <t>Tofu &amp; Asian Pantry</t>
        </is>
      </c>
      <c r="C58" s="9" t="inlineStr">
        <is>
          <t>Kataifi pastry</t>
        </is>
      </c>
      <c r="D58" s="10" t="inlineStr">
        <is>
          <t>Haloumi, prawns</t>
        </is>
      </c>
      <c r="E58" s="8" t="inlineStr">
        <is>
          <t>kg</t>
        </is>
      </c>
      <c r="F58" s="10" t="inlineStr">
        <is>
          <t>Breakfast, Lunch, Dinner, Midweek, Supper Club, Canapés, Functions</t>
        </is>
      </c>
      <c r="G58" s="10" t="inlineStr">
        <is>
          <t>Haloumi &amp; Eggs (Breakfast); Kataifi-Wrapped Haloumi (Lunch); Kataifi-Wrapped Haloumi (Dinner); Kataifi-Wrapped Haloumi (Midweek); Kataifi Prawns (Supper Club); Kataifi Haloumi (Supper Club); Kataifi Haloumi (Canapés); Kataifi-Wrapped Haloumi (Functions)</t>
        </is>
      </c>
      <c r="H58" s="8" t="n">
        <v>8</v>
      </c>
      <c r="I58" s="11" t="n"/>
      <c r="J58" s="11" t="n"/>
      <c r="K58" s="11" t="n"/>
      <c r="L58" s="8">
        <f>IF(OR(J58="",J58=0),"",MAX(J58-N(K58),0))</f>
        <v/>
      </c>
      <c r="M58" s="11" t="n"/>
      <c r="N58" s="12" t="n"/>
      <c r="O58" s="13">
        <f>IF(OR(L58="",N58=""),"",L58*N58)</f>
        <v/>
      </c>
      <c r="P58" s="11" t="n"/>
    </row>
    <row r="59">
      <c r="A59" s="8" t="n">
        <v>50</v>
      </c>
      <c r="B59" s="8" t="inlineStr">
        <is>
          <t>Tofu &amp; Asian Pantry</t>
        </is>
      </c>
      <c r="C59" s="9" t="inlineStr">
        <is>
          <t>Palm sugar</t>
        </is>
      </c>
      <c r="D59" s="10" t="inlineStr">
        <is>
          <t>Cham, glazes, sambal</t>
        </is>
      </c>
      <c r="E59" s="8" t="inlineStr">
        <is>
          <t>kg</t>
        </is>
      </c>
      <c r="F59" s="10" t="inlineStr">
        <is>
          <t>Breakfast, Lunch, Dinner, Midweek, Supper Club, Canapés, Functions</t>
        </is>
      </c>
      <c r="G59" s="10" t="inlineStr">
        <is>
          <t>Haloumi &amp; Eggs (Breakfast); Pork Belly Bánh Mì (Breakfast); C.F.D. Hash (Breakfast); Kataifi-Wrapped Haloumi (Lunch); Tuna Crudo (Lunch); Pork Belly Bánh Mì (Lunch); C.F.D. Katsu Sando (Lunch); Confit Summer Squash (Lunch); BBQ Lamb Shoulder (Lunch); Seafood Lunch Platter (Lunch); Glazed Pork Belly (Dinner); BBQ Lamb Shoulder (Dinner); Pork Belly (main) (Dinner); C.F.D. Cecilia's Fried Duck (Dinner); Confit Summer Squash (Dinner); Kataifi-Wrapped Haloumi (Dinner); Tuna Crudo (Dinner); Kataifi-Wrapped Haloumi (Midweek); Tuna Crudo (Midweek); Glazed Pork Belly (Midweek); BBQ Lamb Shoulder (Midweek); Pork Belly (main) (Midweek); C.F.D. Cecilia's Fried Duck (Midweek); Confit Summer Squash (Midweek); Koji Pork Belly (Supper Club); BBQ Lamb on Bread (Supper Club); Katsu Duck Sando (Supper Club); Pork Belly Skewers (Supper Club); Tuna Crudo (Supper Club); Glazed Pork Belly (Supper Club); C.F.D. Bites (Supper Club); Kataifi Haloumi (Supper Club); Confit Squash (Supper Club); Tuna Crudo Spoon (Canapés); Kataifi Haloumi (Canapés); Confit Squash (Canapés); BBQ Lamb Shoulder (Canapés); C.F.D. Bite (Canapés); Kataifi-Wrapped Haloumi (Functions); Tuna Crudo (Functions); BBQ Lamb Shoulder (Functions); Glazed Pork Belly (Functions); C.F.D. Cecilia's Fried Duck (Functions)</t>
        </is>
      </c>
      <c r="H59" s="8" t="n">
        <v>43</v>
      </c>
      <c r="I59" s="11" t="n"/>
      <c r="J59" s="11" t="n"/>
      <c r="K59" s="11" t="n"/>
      <c r="L59" s="8">
        <f>IF(OR(J59="",J59=0),"",MAX(J59-N(K59),0))</f>
        <v/>
      </c>
      <c r="M59" s="11" t="n"/>
      <c r="N59" s="12" t="n"/>
      <c r="O59" s="13">
        <f>IF(OR(L59="",N59=""),"",L59*N59)</f>
        <v/>
      </c>
      <c r="P59" s="11" t="n"/>
    </row>
    <row r="60">
      <c r="A60" s="8" t="n">
        <v>51</v>
      </c>
      <c r="B60" s="8" t="inlineStr">
        <is>
          <t>Tofu &amp; Asian Pantry</t>
        </is>
      </c>
      <c r="C60" s="9" t="inlineStr">
        <is>
          <t>Dried chillies / chilli paste</t>
        </is>
      </c>
      <c r="D60" s="10" t="inlineStr">
        <is>
          <t>Sambals, rouille</t>
        </is>
      </c>
      <c r="E60" s="8" t="inlineStr">
        <is>
          <t>kg</t>
        </is>
      </c>
      <c r="F60" s="10" t="inlineStr">
        <is>
          <t>Breakfast, Lunch, Dinner, Midweek, Supper Club, Canapés, Functions</t>
        </is>
      </c>
      <c r="G60" s="10" t="inlineStr">
        <is>
          <t>Haloumi &amp; Eggs (Breakfast); Kataifi-Wrapped Haloumi (Lunch); BBQ Lamb Shoulder (Lunch); BBQ Lamb Shoulder (Dinner); Kataifi-Wrapped Haloumi (Dinner); Kataifi-Wrapped Haloumi (Midweek); BBQ Lamb Shoulder (Midweek); BBQ Lamb on Bread (Supper Club); Kataifi Haloumi (Supper Club); Kataifi Haloumi (Canapés); BBQ Lamb Shoulder (Canapés); Kataifi-Wrapped Haloumi (Functions); BBQ Lamb Shoulder (Functions)</t>
        </is>
      </c>
      <c r="H60" s="8" t="n">
        <v>13</v>
      </c>
      <c r="I60" s="11" t="n"/>
      <c r="J60" s="11" t="n"/>
      <c r="K60" s="11" t="n"/>
      <c r="L60" s="8">
        <f>IF(OR(J60="",J60=0),"",MAX(J60-N(K60),0))</f>
        <v/>
      </c>
      <c r="M60" s="11" t="n"/>
      <c r="N60" s="12" t="n"/>
      <c r="O60" s="13">
        <f>IF(OR(L60="",N60=""),"",L60*N60)</f>
        <v/>
      </c>
      <c r="P60" s="11" t="n"/>
    </row>
    <row r="61">
      <c r="A61" s="6" t="inlineStr">
        <is>
          <t>Fruit &amp; Veg</t>
        </is>
      </c>
      <c r="B61" s="7" t="n"/>
      <c r="C61" s="7" t="n"/>
      <c r="D61" s="7" t="n"/>
      <c r="E61" s="7" t="n"/>
      <c r="F61" s="7" t="n"/>
      <c r="G61" s="7" t="n"/>
      <c r="H61" s="7" t="n"/>
      <c r="I61" s="7" t="n"/>
      <c r="J61" s="7" t="n"/>
      <c r="K61" s="7" t="n"/>
      <c r="L61" s="7" t="n"/>
      <c r="M61" s="7" t="n"/>
      <c r="N61" s="7" t="n"/>
      <c r="O61" s="7" t="n"/>
      <c r="P61" s="7" t="n"/>
    </row>
    <row r="62">
      <c r="A62" s="8" t="n">
        <v>52</v>
      </c>
      <c r="B62" s="8" t="inlineStr">
        <is>
          <t>Fruit &amp; Veg</t>
        </is>
      </c>
      <c r="C62" s="9" t="inlineStr">
        <is>
          <t>Potatoes (rösti variety)</t>
        </is>
      </c>
      <c r="D62" s="10" t="inlineStr">
        <is>
          <t>Rösti, potato pancake</t>
        </is>
      </c>
      <c r="E62" s="8" t="inlineStr">
        <is>
          <t>kg</t>
        </is>
      </c>
      <c r="F62" s="10" t="inlineStr">
        <is>
          <t>Breakfast, Lunch, Dinner, Midweek, Supper Club, Canapés, Functions</t>
        </is>
      </c>
      <c r="G62" s="10" t="inlineStr">
        <is>
          <t>Crab Pancake &amp; Eggs (Breakfast); Koji Sunrise (Breakfast); The Big Breakfast (Breakfast); Chef's Breakfast (Breakfast); Breakfast Sides (Breakfast); Potato Pancake (Lunch); Scotch Fillet (Lunch); Sides (Rösti, Greens, Duck Fat Corn, Butternut) (Lunch); Scotch Fillet (Signature) (Dinner); Seafood Platter for Two (Dinner); Potato Pancake (Dinner); Add-on: Scotch Fillet Upgrade (Midweek); Smoked Salmon Rösti (Supper Club); Steak &amp; Rösti (Supper Club); Potato Rösti (Supper Club); Crab Potato Pancake (Supper Club); Crab Potato Pancake (Canapés); Scotch Fillet (Canapés); Potato Pancake (Functions); Seafood Platter for Two (Functions)</t>
        </is>
      </c>
      <c r="H62" s="8" t="n">
        <v>20</v>
      </c>
      <c r="I62" s="11" t="n"/>
      <c r="J62" s="11" t="n"/>
      <c r="K62" s="11" t="n"/>
      <c r="L62" s="8">
        <f>IF(OR(J62="",J62=0),"",MAX(J62-N(K62),0))</f>
        <v/>
      </c>
      <c r="M62" s="11" t="n"/>
      <c r="N62" s="12" t="n"/>
      <c r="O62" s="13">
        <f>IF(OR(L62="",N62=""),"",L62*N62)</f>
        <v/>
      </c>
      <c r="P62" s="11" t="n"/>
    </row>
    <row r="63">
      <c r="A63" s="8" t="n">
        <v>53</v>
      </c>
      <c r="B63" s="8" t="inlineStr">
        <is>
          <t>Fruit &amp; Veg</t>
        </is>
      </c>
      <c r="C63" s="9" t="inlineStr">
        <is>
          <t>Tomatoes, truss</t>
        </is>
      </c>
      <c r="D63" s="10" t="inlineStr">
        <is>
          <t>Roast tomato, big breakfast, tomato pickle</t>
        </is>
      </c>
      <c r="E63" s="8" t="inlineStr">
        <is>
          <t>kg</t>
        </is>
      </c>
      <c r="F63" s="10" t="inlineStr">
        <is>
          <t>Breakfast, Lunch, Dinner, Midweek, Supper Club, Canapés, Functions</t>
        </is>
      </c>
      <c r="G63" s="10" t="inlineStr">
        <is>
          <t>Double Bacon &amp; Egg Roll (Breakfast); The Green Plate (Breakfast); The Big Breakfast (Breakfast); Chef's Breakfast (Breakfast); Breakfast Sides (Breakfast); Whipped Sesame Tofu (Lunch); Whipped Sesame Tofu (Dinner); Whipped Sesame Tofu (Midweek); Whipped Sesame Tofu (Supper Club); Sesame Tofu Tart (Canapés); Whipped Sesame Tofu (Functions)</t>
        </is>
      </c>
      <c r="H63" s="8" t="n">
        <v>11</v>
      </c>
      <c r="I63" s="11" t="n"/>
      <c r="J63" s="11" t="n"/>
      <c r="K63" s="11" t="n"/>
      <c r="L63" s="8">
        <f>IF(OR(J63="",J63=0),"",MAX(J63-N(K63),0))</f>
        <v/>
      </c>
      <c r="M63" s="11" t="n"/>
      <c r="N63" s="12" t="n"/>
      <c r="O63" s="13">
        <f>IF(OR(L63="",N63=""),"",L63*N63)</f>
        <v/>
      </c>
      <c r="P63" s="11" t="n"/>
    </row>
    <row r="64">
      <c r="A64" s="8" t="n">
        <v>54</v>
      </c>
      <c r="B64" s="8" t="inlineStr">
        <is>
          <t>Fruit &amp; Veg</t>
        </is>
      </c>
      <c r="C64" s="9" t="inlineStr">
        <is>
          <t>Sundried tomatoes</t>
        </is>
      </c>
      <c r="D64" s="10" t="inlineStr">
        <is>
          <t>Sundried tomato sambal</t>
        </is>
      </c>
      <c r="E64" s="8" t="inlineStr">
        <is>
          <t>kg</t>
        </is>
      </c>
      <c r="F64" s="10" t="inlineStr">
        <is>
          <t>Breakfast, Lunch, Dinner, Midweek, Supper Club, Canapés, Functions</t>
        </is>
      </c>
      <c r="G64" s="10" t="inlineStr">
        <is>
          <t>Haloumi &amp; Eggs (Breakfast); Kataifi-Wrapped Haloumi (Lunch); Kataifi-Wrapped Haloumi (Dinner); Kataifi-Wrapped Haloumi (Midweek); Kataifi Haloumi (Supper Club); Kataifi Haloumi (Canapés); Kataifi-Wrapped Haloumi (Functions)</t>
        </is>
      </c>
      <c r="H64" s="8" t="n">
        <v>7</v>
      </c>
      <c r="I64" s="11" t="n"/>
      <c r="J64" s="11" t="n"/>
      <c r="K64" s="11" t="n"/>
      <c r="L64" s="8">
        <f>IF(OR(J64="",J64=0),"",MAX(J64-N(K64),0))</f>
        <v/>
      </c>
      <c r="M64" s="11" t="n"/>
      <c r="N64" s="12" t="n"/>
      <c r="O64" s="13">
        <f>IF(OR(L64="",N64=""),"",L64*N64)</f>
        <v/>
      </c>
      <c r="P64" s="11" t="n"/>
    </row>
    <row r="65">
      <c r="A65" s="8" t="n">
        <v>55</v>
      </c>
      <c r="B65" s="8" t="inlineStr">
        <is>
          <t>Fruit &amp; Veg</t>
        </is>
      </c>
      <c r="C65" s="9" t="inlineStr">
        <is>
          <t>Butternut squash</t>
        </is>
      </c>
      <c r="D65" s="10" t="inlineStr">
        <is>
          <t>Charred butternut, confit squash</t>
        </is>
      </c>
      <c r="E65" s="8" t="inlineStr">
        <is>
          <t>kg</t>
        </is>
      </c>
      <c r="F65" s="10" t="inlineStr">
        <is>
          <t>Lunch, Dinner, Midweek, Supper Club, Canapés</t>
        </is>
      </c>
      <c r="G65" s="10" t="inlineStr">
        <is>
          <t>Confit Summer Squash (Lunch); Sides (Rösti, Greens, Duck Fat Corn, Butternut) (Lunch); Confit Summer Squash (Dinner); Confit Summer Squash (Midweek); Charred Butternut (Supper Club); Confit Squash (Supper Club); Confit Squash (Canapés)</t>
        </is>
      </c>
      <c r="H65" s="8" t="n">
        <v>7</v>
      </c>
      <c r="I65" s="11" t="n"/>
      <c r="J65" s="11" t="n"/>
      <c r="K65" s="11" t="n"/>
      <c r="L65" s="8">
        <f>IF(OR(J65="",J65=0),"",MAX(J65-N(K65),0))</f>
        <v/>
      </c>
      <c r="M65" s="11" t="n"/>
      <c r="N65" s="12" t="n"/>
      <c r="O65" s="13">
        <f>IF(OR(L65="",N65=""),"",L65*N65)</f>
        <v/>
      </c>
      <c r="P65" s="11" t="n"/>
    </row>
    <row r="66">
      <c r="A66" s="8" t="n">
        <v>56</v>
      </c>
      <c r="B66" s="8" t="inlineStr">
        <is>
          <t>Fruit &amp; Veg</t>
        </is>
      </c>
      <c r="C66" s="9" t="inlineStr">
        <is>
          <t>Summer squash / zucchini</t>
        </is>
      </c>
      <c r="D66" s="10" t="inlineStr">
        <is>
          <t>Barramundi, squash crudo, green plate</t>
        </is>
      </c>
      <c r="E66" s="8" t="inlineStr">
        <is>
          <t>kg</t>
        </is>
      </c>
      <c r="F66" s="10" t="inlineStr">
        <is>
          <t>Breakfast, Lunch, Dinner, Midweek, Supper Club, Canapés, Functions</t>
        </is>
      </c>
      <c r="G66" s="10" t="inlineStr">
        <is>
          <t>The Green Plate (Breakfast); Roast Barramundi (Lunch); Roast Barramundi (Dinner); Roast Barramundi (Midweek); Summer Squash Crudo (Supper Club); Barramundi Bite (Canapés); Roast Barramundi (Functions)</t>
        </is>
      </c>
      <c r="H66" s="8" t="n">
        <v>7</v>
      </c>
      <c r="I66" s="11" t="n"/>
      <c r="J66" s="11" t="n"/>
      <c r="K66" s="11" t="n"/>
      <c r="L66" s="8">
        <f>IF(OR(J66="",J66=0),"",MAX(J66-N(K66),0))</f>
        <v/>
      </c>
      <c r="M66" s="11" t="n"/>
      <c r="N66" s="12" t="n"/>
      <c r="O66" s="13">
        <f>IF(OR(L66="",N66=""),"",L66*N66)</f>
        <v/>
      </c>
      <c r="P66" s="11" t="n"/>
    </row>
    <row r="67">
      <c r="A67" s="8" t="n">
        <v>57</v>
      </c>
      <c r="B67" s="8" t="inlineStr">
        <is>
          <t>Fruit &amp; Veg</t>
        </is>
      </c>
      <c r="C67" s="9" t="inlineStr">
        <is>
          <t>Sweet corn (cobs)</t>
        </is>
      </c>
      <c r="D67" s="10" t="inlineStr">
        <is>
          <t>Duck fat corn, lemongrass corn, corn crunch</t>
        </is>
      </c>
      <c r="E67" s="8" t="inlineStr">
        <is>
          <t>each</t>
        </is>
      </c>
      <c r="F67" s="10" t="inlineStr">
        <is>
          <t>Breakfast, Lunch, Dinner, Midweek, Supper Club, Canapés, Functions</t>
        </is>
      </c>
      <c r="G67" s="10" t="inlineStr">
        <is>
          <t>C.F.D. Hash (Breakfast); Whipped Sesame Tofu (Lunch); Confit Summer Squash (Lunch); Sides (Rösti, Greens, Duck Fat Corn, Butternut) (Lunch); Whipped Sesame Tofu (Dinner); C.F.D. Cecilia's Fried Duck (Dinner); Confit Summer Squash (Dinner); Whipped Sesame Tofu (Midweek); C.F.D. Cecilia's Fried Duck (Midweek); Confit Summer Squash (Midweek); Duck Fat Corn (Supper Club); Charred Butternut (Supper Club); Corn &amp; Tofu Toast (Supper Club); C.F.D. Bites (Supper Club); Whipped Sesame Tofu (Supper Club); Confit Squash (Supper Club); Sesame Tofu Tart (Canapés); Confit Squash (Canapés); C.F.D. Bite (Canapés); Whipped Sesame Tofu (Functions); C.F.D. Cecilia's Fried Duck (Functions)</t>
        </is>
      </c>
      <c r="H67" s="8" t="n">
        <v>21</v>
      </c>
      <c r="I67" s="11" t="n"/>
      <c r="J67" s="11" t="n"/>
      <c r="K67" s="11" t="n"/>
      <c r="L67" s="8">
        <f>IF(OR(J67="",J67=0),"",MAX(J67-N(K67),0))</f>
        <v/>
      </c>
      <c r="M67" s="11" t="n"/>
      <c r="N67" s="12" t="n"/>
      <c r="O67" s="13">
        <f>IF(OR(L67="",N67=""),"",L67*N67)</f>
        <v/>
      </c>
      <c r="P67" s="11" t="n"/>
    </row>
    <row r="68">
      <c r="A68" s="8" t="n">
        <v>58</v>
      </c>
      <c r="B68" s="8" t="inlineStr">
        <is>
          <t>Fruit &amp; Veg</t>
        </is>
      </c>
      <c r="C68" s="9" t="inlineStr">
        <is>
          <t>Green mango</t>
        </is>
      </c>
      <c r="D68" s="10" t="inlineStr">
        <is>
          <t>Bánh mì, lamb, pork belly, green mango salad</t>
        </is>
      </c>
      <c r="E68" s="8" t="inlineStr">
        <is>
          <t>kg</t>
        </is>
      </c>
      <c r="F68" s="10" t="inlineStr">
        <is>
          <t>Breakfast, Lunch, Dinner, Midweek, Supper Club, Canapés, Functions</t>
        </is>
      </c>
      <c r="G68" s="10" t="inlineStr">
        <is>
          <t>Pork Belly Bánh Mì (Breakfast); Pork Belly Bánh Mì (Lunch); Glazed Pork Belly (Dinner); BBQ Lamb Shoulder (Dinner); Glazed Pork Belly (Midweek); BBQ Lamb Shoulder (Midweek); Green Mango Salad (Supper Club); Glazed Pork Belly (Supper Club); Glazed Pork Belly (canapé) (Canapés); BBQ Lamb Shoulder (Canapés); Glazed Pork Belly (Functions)</t>
        </is>
      </c>
      <c r="H68" s="8" t="n">
        <v>11</v>
      </c>
      <c r="I68" s="11" t="n"/>
      <c r="J68" s="11" t="n"/>
      <c r="K68" s="11" t="n"/>
      <c r="L68" s="8">
        <f>IF(OR(J68="",J68=0),"",MAX(J68-N(K68),0))</f>
        <v/>
      </c>
      <c r="M68" s="11" t="n"/>
      <c r="N68" s="12" t="n"/>
      <c r="O68" s="13">
        <f>IF(OR(L68="",N68=""),"",L68*N68)</f>
        <v/>
      </c>
      <c r="P68" s="11" t="n"/>
    </row>
    <row r="69">
      <c r="A69" s="8" t="n">
        <v>59</v>
      </c>
      <c r="B69" s="8" t="inlineStr">
        <is>
          <t>Fruit &amp; Veg</t>
        </is>
      </c>
      <c r="C69" s="9" t="inlineStr">
        <is>
          <t>Apples (for koji)</t>
        </is>
      </c>
      <c r="D69" s="10" t="inlineStr">
        <is>
          <t>Crisp green (e.g. Granny Smith)</t>
        </is>
      </c>
      <c r="E69" s="8" t="inlineStr">
        <is>
          <t>kg</t>
        </is>
      </c>
      <c r="F69" s="10" t="inlineStr">
        <is>
          <t>Breakfast, Dinner, Midweek, Supper Club</t>
        </is>
      </c>
      <c r="G69" s="10" t="inlineStr">
        <is>
          <t>Koji Sunrise (Breakfast); Pork Belly (main) (Dinner); Pork Belly (main) (Midweek); Koji Pork Belly (Supper Club)</t>
        </is>
      </c>
      <c r="H69" s="8" t="n">
        <v>4</v>
      </c>
      <c r="I69" s="11" t="n"/>
      <c r="J69" s="11" t="n"/>
      <c r="K69" s="11" t="n"/>
      <c r="L69" s="8">
        <f>IF(OR(J69="",J69=0),"",MAX(J69-N(K69),0))</f>
        <v/>
      </c>
      <c r="M69" s="11" t="n"/>
      <c r="N69" s="12" t="n"/>
      <c r="O69" s="13">
        <f>IF(OR(L69="",N69=""),"",L69*N69)</f>
        <v/>
      </c>
      <c r="P69" s="11" t="n"/>
    </row>
    <row r="70">
      <c r="A70" s="8" t="n">
        <v>60</v>
      </c>
      <c r="B70" s="8" t="inlineStr">
        <is>
          <t>Fruit &amp; Veg</t>
        </is>
      </c>
      <c r="C70" s="9" t="inlineStr">
        <is>
          <t>Fennel bulbs</t>
        </is>
      </c>
      <c r="D70" s="10" t="inlineStr">
        <is>
          <t>Crudo, barramundi, seafood platters</t>
        </is>
      </c>
      <c r="E70" s="8" t="inlineStr">
        <is>
          <t>each</t>
        </is>
      </c>
      <c r="F70" s="10" t="inlineStr">
        <is>
          <t>Lunch, Dinner, Midweek, Supper Club, Canapés, Functions</t>
        </is>
      </c>
      <c r="G70" s="10" t="inlineStr">
        <is>
          <t>Tuna Crudo (Lunch); Roast Barramundi (Lunch); Seafood Lunch Platter (Lunch); Roast Barramundi (Dinner); Tuna Crudo (Dinner); Tuna Crudo (Midweek); Roast Barramundi (Midweek); Barramundi Bites (Supper Club); Tuna Crudo (Supper Club); Barramundi Bite (Canapés); Tuna Crudo (Functions); Roast Barramundi (Functions)</t>
        </is>
      </c>
      <c r="H70" s="8" t="n">
        <v>12</v>
      </c>
      <c r="I70" s="11" t="n"/>
      <c r="J70" s="11" t="n"/>
      <c r="K70" s="11" t="n"/>
      <c r="L70" s="8">
        <f>IF(OR(J70="",J70=0),"",MAX(J70-N(K70),0))</f>
        <v/>
      </c>
      <c r="M70" s="11" t="n"/>
      <c r="N70" s="12" t="n"/>
      <c r="O70" s="13">
        <f>IF(OR(L70="",N70=""),"",L70*N70)</f>
        <v/>
      </c>
      <c r="P70" s="11" t="n"/>
    </row>
    <row r="71">
      <c r="A71" s="8" t="n">
        <v>61</v>
      </c>
      <c r="B71" s="8" t="inlineStr">
        <is>
          <t>Fruit &amp; Veg</t>
        </is>
      </c>
      <c r="C71" s="9" t="inlineStr">
        <is>
          <t>Samphire / sea beans</t>
        </is>
      </c>
      <c r="D71" s="10" t="inlineStr">
        <is>
          <t>Barramundi, pork belly, prawns</t>
        </is>
      </c>
      <c r="E71" s="8" t="inlineStr">
        <is>
          <t>kg</t>
        </is>
      </c>
      <c r="F71" s="10" t="inlineStr">
        <is>
          <t>Lunch, Dinner, Midweek, Supper Club, Canapés, Functions</t>
        </is>
      </c>
      <c r="G71" s="10" t="inlineStr">
        <is>
          <t>Roast Barramundi (Lunch); Pork Belly (main) (Dinner); Roast Barramundi (Dinner); Seafood Platter for Two (Dinner); Pork Belly (main) (Midweek); Roast Barramundi (Midweek); Prawns &amp; Rouille (Supper Club); Barramundi Bite (Canapés); Roast Barramundi (Functions); Seafood Platter for Two (Functions)</t>
        </is>
      </c>
      <c r="H71" s="8" t="n">
        <v>10</v>
      </c>
      <c r="I71" s="11" t="n"/>
      <c r="J71" s="11" t="n"/>
      <c r="K71" s="11" t="n"/>
      <c r="L71" s="8">
        <f>IF(OR(J71="",J71=0),"",MAX(J71-N(K71),0))</f>
        <v/>
      </c>
      <c r="M71" s="11" t="n"/>
      <c r="N71" s="12" t="n"/>
      <c r="O71" s="13">
        <f>IF(OR(L71="",N71=""),"",L71*N71)</f>
        <v/>
      </c>
      <c r="P71" s="11" t="n"/>
    </row>
    <row r="72">
      <c r="A72" s="8" t="n">
        <v>62</v>
      </c>
      <c r="B72" s="8" t="inlineStr">
        <is>
          <t>Fruit &amp; Veg</t>
        </is>
      </c>
      <c r="C72" s="9" t="inlineStr">
        <is>
          <t>Shishito peppers</t>
        </is>
      </c>
      <c r="D72" s="10" t="inlineStr">
        <is>
          <t>Wagyu, skewers, blistered shishito</t>
        </is>
      </c>
      <c r="E72" s="8" t="inlineStr">
        <is>
          <t>kg</t>
        </is>
      </c>
      <c r="F72" s="10" t="inlineStr">
        <is>
          <t>Breakfast, Lunch, Dinner, Midweek, Supper Club, Functions</t>
        </is>
      </c>
      <c r="G72" s="10" t="inlineStr">
        <is>
          <t>Wagyu &amp; Eggs (Breakfast); Seared Wagyu Skewers (Lunch); Whipped Sesame Tofu (Dinner); Seared Wagyu Skewers (Dinner); Seared Wagyu Skewers (Midweek); Whipped Sesame Tofu (Midweek); Blistered Shishito (Supper Club); Wagyu Skewers (Supper Club); Whipped Sesame Tofu (Supper Club); Seared Wagyu Skewers (Functions); Whipped Sesame Tofu (Functions)</t>
        </is>
      </c>
      <c r="H72" s="8" t="n">
        <v>11</v>
      </c>
      <c r="I72" s="11" t="n"/>
      <c r="J72" s="11" t="n"/>
      <c r="K72" s="11" t="n"/>
      <c r="L72" s="8">
        <f>IF(OR(J72="",J72=0),"",MAX(J72-N(K72),0))</f>
        <v/>
      </c>
      <c r="M72" s="11" t="n"/>
      <c r="N72" s="12" t="n"/>
      <c r="O72" s="13">
        <f>IF(OR(L72="",N72=""),"",L72*N72)</f>
        <v/>
      </c>
      <c r="P72" s="11" t="n"/>
    </row>
    <row r="73">
      <c r="A73" s="8" t="n">
        <v>63</v>
      </c>
      <c r="B73" s="8" t="inlineStr">
        <is>
          <t>Fruit &amp; Veg</t>
        </is>
      </c>
      <c r="C73" s="9" t="inlineStr">
        <is>
          <t>Red capsicum</t>
        </is>
      </c>
      <c r="D73" s="10" t="inlineStr">
        <is>
          <t>Charred peppers (white anchovies)</t>
        </is>
      </c>
      <c r="E73" s="8" t="inlineStr">
        <is>
          <t>kg</t>
        </is>
      </c>
      <c r="F73" s="10" t="inlineStr">
        <is>
          <t>Lunch, Dinner, Supper Club, Canapés</t>
        </is>
      </c>
      <c r="G73" s="10" t="inlineStr">
        <is>
          <t>Seafood Lunch Platter (Lunch); White Anchovies (Dinner); Anchovy Toast (Supper Club); White Anchovy Toast (Canapés)</t>
        </is>
      </c>
      <c r="H73" s="8" t="n">
        <v>4</v>
      </c>
      <c r="I73" s="11" t="n"/>
      <c r="J73" s="11" t="n"/>
      <c r="K73" s="11" t="n"/>
      <c r="L73" s="8">
        <f>IF(OR(J73="",J73=0),"",MAX(J73-N(K73),0))</f>
        <v/>
      </c>
      <c r="M73" s="11" t="n"/>
      <c r="N73" s="12" t="n"/>
      <c r="O73" s="13">
        <f>IF(OR(L73="",N73=""),"",L73*N73)</f>
        <v/>
      </c>
      <c r="P73" s="11" t="n"/>
    </row>
    <row r="74">
      <c r="A74" s="8" t="n">
        <v>64</v>
      </c>
      <c r="B74" s="8" t="inlineStr">
        <is>
          <t>Fruit &amp; Veg</t>
        </is>
      </c>
      <c r="C74" s="9" t="inlineStr">
        <is>
          <t>Mixed greens / bitter greens</t>
        </is>
      </c>
      <c r="D74" s="10" t="inlineStr">
        <is>
          <t>Sides, big breakfast, C.F.D., scotch fillet</t>
        </is>
      </c>
      <c r="E74" s="8" t="inlineStr">
        <is>
          <t>kg</t>
        </is>
      </c>
      <c r="F74" s="10" t="inlineStr">
        <is>
          <t>Breakfast, Lunch, Dinner, Midweek, Supper Club, Canapés, Functions</t>
        </is>
      </c>
      <c r="G74" s="10" t="inlineStr">
        <is>
          <t>The Green Plate (Breakfast); The Big Breakfast (Breakfast); Chef's Breakfast (Breakfast); Breakfast Sides (Breakfast); Scotch Fillet (Lunch); Sides (Rösti, Greens, Duck Fat Corn, Butternut) (Lunch); C.F.D. Cecilia's Fried Duck (Dinner); Scotch Fillet (Signature) (Dinner); Add-on: Scotch Fillet Upgrade (Midweek); C.F.D. Cecilia's Fried Duck (Midweek); Katsu Duck Sando (Supper Club); C.F.D. Bites (Supper Club); C.F.D. Bite (Canapés); Scotch Fillet (Canapés); C.F.D. Cecilia's Fried Duck (Functions)</t>
        </is>
      </c>
      <c r="H74" s="8" t="n">
        <v>15</v>
      </c>
      <c r="I74" s="11" t="n"/>
      <c r="J74" s="11" t="n"/>
      <c r="K74" s="11" t="n"/>
      <c r="L74" s="8">
        <f>IF(OR(J74="",J74=0),"",MAX(J74-N(K74),0))</f>
        <v/>
      </c>
      <c r="M74" s="11" t="n"/>
      <c r="N74" s="12" t="n"/>
      <c r="O74" s="13">
        <f>IF(OR(L74="",N74=""),"",L74*N74)</f>
        <v/>
      </c>
      <c r="P74" s="11" t="n"/>
    </row>
    <row r="75">
      <c r="A75" s="8" t="n">
        <v>65</v>
      </c>
      <c r="B75" s="8" t="inlineStr">
        <is>
          <t>Fruit &amp; Veg</t>
        </is>
      </c>
      <c r="C75" s="9" t="inlineStr">
        <is>
          <t>Garlic</t>
        </is>
      </c>
      <c r="D75" s="10" t="inlineStr">
        <is>
          <t>Confit garlic, rouille, herb butter</t>
        </is>
      </c>
      <c r="E75" s="8" t="inlineStr">
        <is>
          <t>kg</t>
        </is>
      </c>
      <c r="F75" s="10" t="inlineStr">
        <is>
          <t>Breakfast, Lunch, Dinner, Midweek, Supper Club, Canapés, Functions</t>
        </is>
      </c>
      <c r="G75" s="10" t="inlineStr">
        <is>
          <t>House Bread Toast (Breakfast); House Bread (Lunch); Potato Pancake (Lunch); Scotch Fillet (Lunch); Seafood Lunch Platter (Lunch); Roast Barramundi (Dinner); Scotch Fillet (Signature) (Dinner); Lobster Bouillabaisse (Dinner); Seafood Platter for Two (Dinner); House Bread (Dinner); Potato Pancake (Dinner); Add-on: Two Slices House Bread (Midweek); Add-on: Scotch Fillet Upgrade (Midweek); Roast Barramundi (Midweek); Prawns &amp; Rouille (Supper Club); Kataifi Prawns (Supper Club); Steak &amp; Rösti (Supper Club); Potato Rösti (Supper Club); Crab Potato Pancake (Supper Club); House bread for the table (Supper Club); Lobster Bouillabaisse Cup (Canapés); Barramundi Bite (Canapés); Crab Potato Pancake (Canapés); Scotch Fillet (Canapés); House Bread (Functions); Potato Pancake (Functions); Seafood Platter for Two (Functions)</t>
        </is>
      </c>
      <c r="H75" s="8" t="n">
        <v>27</v>
      </c>
      <c r="I75" s="11" t="n"/>
      <c r="J75" s="11" t="n"/>
      <c r="K75" s="11" t="n"/>
      <c r="L75" s="8">
        <f>IF(OR(J75="",J75=0),"",MAX(J75-N(K75),0))</f>
        <v/>
      </c>
      <c r="M75" s="11" t="n"/>
      <c r="N75" s="12" t="n"/>
      <c r="O75" s="13">
        <f>IF(OR(L75="",N75=""),"",L75*N75)</f>
        <v/>
      </c>
      <c r="P75" s="11" t="n"/>
    </row>
    <row r="76">
      <c r="A76" s="8" t="n">
        <v>66</v>
      </c>
      <c r="B76" s="8" t="inlineStr">
        <is>
          <t>Fruit &amp; Veg</t>
        </is>
      </c>
      <c r="C76" s="9" t="inlineStr">
        <is>
          <t>Spring onions / scallions</t>
        </is>
      </c>
      <c r="D76" s="10" t="inlineStr">
        <is>
          <t>Scallion oil</t>
        </is>
      </c>
      <c r="E76" s="8" t="inlineStr">
        <is>
          <t>bunch</t>
        </is>
      </c>
      <c r="F76" s="10" t="inlineStr">
        <is>
          <t>Lunch, Dinner, Midweek, Supper Club, Canapés, Functions</t>
        </is>
      </c>
      <c r="G76" s="10" t="inlineStr">
        <is>
          <t>Seared Wagyu Skewers (Lunch); Seared Wagyu Skewers (Dinner); Seared Wagyu Skewers (Midweek); Prawns &amp; Rouille (Supper Club); Duck Fat Corn (Supper Club); Pork Belly Skewers (Supper Club); Blistered Shishito (Supper Club); Wagyu Skewers (Supper Club); Wagyu Skewer (Canapés); Seared Wagyu Skewers (Functions)</t>
        </is>
      </c>
      <c r="H76" s="8" t="n">
        <v>10</v>
      </c>
      <c r="I76" s="11" t="n"/>
      <c r="J76" s="11" t="n"/>
      <c r="K76" s="11" t="n"/>
      <c r="L76" s="8">
        <f>IF(OR(J76="",J76=0),"",MAX(J76-N(K76),0))</f>
        <v/>
      </c>
      <c r="M76" s="11" t="n"/>
      <c r="N76" s="12" t="n"/>
      <c r="O76" s="13">
        <f>IF(OR(L76="",N76=""),"",L76*N76)</f>
        <v/>
      </c>
      <c r="P76" s="11" t="n"/>
    </row>
    <row r="77">
      <c r="A77" s="8" t="n">
        <v>67</v>
      </c>
      <c r="B77" s="8" t="inlineStr">
        <is>
          <t>Fruit &amp; Veg</t>
        </is>
      </c>
      <c r="C77" s="9" t="inlineStr">
        <is>
          <t>Lemongrass</t>
        </is>
      </c>
      <c r="D77" s="10" t="inlineStr">
        <is>
          <t>Lemongrass corn</t>
        </is>
      </c>
      <c r="E77" s="8" t="inlineStr">
        <is>
          <t>bunch</t>
        </is>
      </c>
      <c r="F77" s="10" t="inlineStr">
        <is>
          <t>Lunch, Dinner, Midweek, Supper Club, Canapés</t>
        </is>
      </c>
      <c r="G77" s="10" t="inlineStr">
        <is>
          <t>Confit Summer Squash (Lunch); Confit Summer Squash (Dinner); Confit Summer Squash (Midweek); Charred Butternut (Supper Club); Confit Squash (Supper Club); Confit Squash (Canapés)</t>
        </is>
      </c>
      <c r="H77" s="8" t="n">
        <v>6</v>
      </c>
      <c r="I77" s="11" t="n"/>
      <c r="J77" s="11" t="n"/>
      <c r="K77" s="11" t="n"/>
      <c r="L77" s="8">
        <f>IF(OR(J77="",J77=0),"",MAX(J77-N(K77),0))</f>
        <v/>
      </c>
      <c r="M77" s="11" t="n"/>
      <c r="N77" s="12" t="n"/>
      <c r="O77" s="13">
        <f>IF(OR(L77="",N77=""),"",L77*N77)</f>
        <v/>
      </c>
      <c r="P77" s="11" t="n"/>
    </row>
    <row r="78">
      <c r="A78" s="8" t="n">
        <v>68</v>
      </c>
      <c r="B78" s="8" t="inlineStr">
        <is>
          <t>Fruit &amp; Veg</t>
        </is>
      </c>
      <c r="C78" s="9" t="inlineStr">
        <is>
          <t>Shiso leaves</t>
        </is>
      </c>
      <c r="D78" s="10" t="inlineStr">
        <is>
          <t>Haloumi, pork belly, salads</t>
        </is>
      </c>
      <c r="E78" s="8" t="inlineStr">
        <is>
          <t>punnet</t>
        </is>
      </c>
      <c r="F78" s="10" t="inlineStr">
        <is>
          <t>Lunch, Dinner, Midweek, Supper Club, Canapés, Functions</t>
        </is>
      </c>
      <c r="G78" s="10" t="inlineStr">
        <is>
          <t>Kataifi-Wrapped Haloumi (Lunch); Pork Belly (main) (Dinner); Kataifi-Wrapped Haloumi (Dinner); Kataifi-Wrapped Haloumi (Midweek); Pork Belly (main) (Midweek); Green Mango Salad (Supper Club); Summer Squash Crudo (Supper Club); Kataifi Haloumi (Supper Club); Glazed Pork Belly (canapé) (Canapés); Kataifi Haloumi (Canapés); Kataifi-Wrapped Haloumi (Functions)</t>
        </is>
      </c>
      <c r="H78" s="8" t="n">
        <v>11</v>
      </c>
      <c r="I78" s="11" t="n"/>
      <c r="J78" s="11" t="n"/>
      <c r="K78" s="11" t="n"/>
      <c r="L78" s="8">
        <f>IF(OR(J78="",J78=0),"",MAX(J78-N(K78),0))</f>
        <v/>
      </c>
      <c r="M78" s="11" t="n"/>
      <c r="N78" s="12" t="n"/>
      <c r="O78" s="13">
        <f>IF(OR(L78="",N78=""),"",L78*N78)</f>
        <v/>
      </c>
      <c r="P78" s="11" t="n"/>
    </row>
    <row r="79">
      <c r="A79" s="8" t="n">
        <v>69</v>
      </c>
      <c r="B79" s="8" t="inlineStr">
        <is>
          <t>Fruit &amp; Veg</t>
        </is>
      </c>
      <c r="C79" s="9" t="inlineStr">
        <is>
          <t>Mint</t>
        </is>
      </c>
      <c r="D79" s="10" t="inlineStr">
        <is>
          <t>Bánh mì, lamb, pork belly, salads</t>
        </is>
      </c>
      <c r="E79" s="8" t="inlineStr">
        <is>
          <t>bunch</t>
        </is>
      </c>
      <c r="F79" s="10" t="inlineStr">
        <is>
          <t>Breakfast, Lunch, Dinner, Midweek, Supper Club, Functions</t>
        </is>
      </c>
      <c r="G79" s="10" t="inlineStr">
        <is>
          <t>Pork Belly Bánh Mì (Breakfast); Pork Belly Bánh Mì (Lunch); BBQ Lamb Shoulder (Lunch); Pork Belly (main) (Dinner); Pork Belly (main) (Midweek); BBQ Lamb on Bread (Supper Club); Green Mango Salad (Supper Club); BBQ Lamb Shoulder (Functions)</t>
        </is>
      </c>
      <c r="H79" s="8" t="n">
        <v>8</v>
      </c>
      <c r="I79" s="11" t="n"/>
      <c r="J79" s="11" t="n"/>
      <c r="K79" s="11" t="n"/>
      <c r="L79" s="8">
        <f>IF(OR(J79="",J79=0),"",MAX(J79-N(K79),0))</f>
        <v/>
      </c>
      <c r="M79" s="11" t="n"/>
      <c r="N79" s="12" t="n"/>
      <c r="O79" s="13">
        <f>IF(OR(L79="",N79=""),"",L79*N79)</f>
        <v/>
      </c>
      <c r="P79" s="11" t="n"/>
    </row>
    <row r="80">
      <c r="A80" s="8" t="n">
        <v>70</v>
      </c>
      <c r="B80" s="8" t="inlineStr">
        <is>
          <t>Fruit &amp; Veg</t>
        </is>
      </c>
      <c r="C80" s="9" t="inlineStr">
        <is>
          <t>Soft herbs (parsley/chives/dill)</t>
        </is>
      </c>
      <c r="D80" s="10" t="inlineStr">
        <is>
          <t>Herb butter, garnish</t>
        </is>
      </c>
      <c r="E80" s="8" t="inlineStr">
        <is>
          <t>bunch</t>
        </is>
      </c>
      <c r="F80" s="10" t="inlineStr">
        <is>
          <t>Breakfast, Lunch, Dinner, Midweek, Supper Club, Functions</t>
        </is>
      </c>
      <c r="G80" s="10" t="inlineStr">
        <is>
          <t>House Bread Toast (Breakfast); House Bread (Lunch); Sides (Rösti, Greens, Duck Fat Corn, Butternut) (Lunch); Seafood Platter for Two (Dinner); House Bread (Dinner); Add-on: Two Slices House Bread (Midweek); Potato Rösti (Supper Club); House bread for the table (Supper Club); House Bread (Functions); Seafood Platter for Two (Functions)</t>
        </is>
      </c>
      <c r="H80" s="8" t="n">
        <v>10</v>
      </c>
      <c r="I80" s="11" t="n"/>
      <c r="J80" s="11" t="n"/>
      <c r="K80" s="11" t="n"/>
      <c r="L80" s="8">
        <f>IF(OR(J80="",J80=0),"",MAX(J80-N(K80),0))</f>
        <v/>
      </c>
      <c r="M80" s="11" t="n"/>
      <c r="N80" s="12" t="n"/>
      <c r="O80" s="13">
        <f>IF(OR(L80="",N80=""),"",L80*N80)</f>
        <v/>
      </c>
      <c r="P80" s="11" t="n"/>
    </row>
    <row r="81">
      <c r="A81" s="8" t="n">
        <v>71</v>
      </c>
      <c r="B81" s="8" t="inlineStr">
        <is>
          <t>Fruit &amp; Veg</t>
        </is>
      </c>
      <c r="C81" s="9" t="inlineStr">
        <is>
          <t>Limes</t>
        </is>
      </c>
      <c r="D81" s="10" t="inlineStr">
        <is>
          <t>Cham</t>
        </is>
      </c>
      <c r="E81" s="8" t="inlineStr">
        <is>
          <t>kg</t>
        </is>
      </c>
      <c r="F81" s="10" t="inlineStr">
        <is>
          <t>Breakfast, Lunch, Dinner, Midweek, Supper Club, Canapés, Functions</t>
        </is>
      </c>
      <c r="G81" s="10" t="inlineStr">
        <is>
          <t>C.F.D. Hash (Breakfast); Tuna Crudo (Lunch); C.F.D. Katsu Sando (Lunch); Confit Summer Squash (Lunch); Seafood Lunch Platter (Lunch); Pork Belly (main) (Dinner); C.F.D. Cecilia's Fried Duck (Dinner); Confit Summer Squash (Dinner); Tuna Crudo (Dinner); Tuna Crudo (Midweek); Pork Belly (main) (Midweek); C.F.D. Cecilia's Fried Duck (Midweek); Confit Summer Squash (Midweek); Koji Pork Belly (Supper Club); Katsu Duck Sando (Supper Club); Pork Belly Skewers (Supper Club); Tuna Crudo (Supper Club); C.F.D. Bites (Supper Club); Confit Squash (Supper Club); Tuna Crudo Spoon (Canapés); Confit Squash (Canapés); C.F.D. Bite (Canapés); Tuna Crudo (Functions); C.F.D. Cecilia's Fried Duck (Functions)</t>
        </is>
      </c>
      <c r="H81" s="8" t="n">
        <v>24</v>
      </c>
      <c r="I81" s="11" t="n"/>
      <c r="J81" s="11" t="n"/>
      <c r="K81" s="11" t="n"/>
      <c r="L81" s="8">
        <f>IF(OR(J81="",J81=0),"",MAX(J81-N(K81),0))</f>
        <v/>
      </c>
      <c r="M81" s="11" t="n"/>
      <c r="N81" s="12" t="n"/>
      <c r="O81" s="13">
        <f>IF(OR(L81="",N81=""),"",L81*N81)</f>
        <v/>
      </c>
      <c r="P81" s="11" t="n"/>
    </row>
    <row r="82">
      <c r="A82" s="8" t="n">
        <v>72</v>
      </c>
      <c r="B82" s="8" t="inlineStr">
        <is>
          <t>Fruit &amp; Veg</t>
        </is>
      </c>
      <c r="C82" s="9" t="inlineStr">
        <is>
          <t>Lemons</t>
        </is>
      </c>
      <c r="D82" s="10" t="inlineStr">
        <is>
          <t>Hollandaise, seafood</t>
        </is>
      </c>
      <c r="E82" s="8" t="inlineStr">
        <is>
          <t>kg</t>
        </is>
      </c>
      <c r="F82" s="10" t="inlineStr">
        <is>
          <t>Breakfast, Lunch, Dinner, Supper Club, Canapés, Functions</t>
        </is>
      </c>
      <c r="G82" s="10" t="inlineStr">
        <is>
          <t>The Real Eggs Benedict (Breakfast); Breakfast Sides (Breakfast); Pacific Oysters (Natural / Sesame &amp; Wasabi) (Lunch); Pacific Oysters (Dinner); Pacific Oysters (Supper Club); Pacific Oyster, Dressed (Canapés); Pacific Oysters (Functions)</t>
        </is>
      </c>
      <c r="H82" s="8" t="n">
        <v>7</v>
      </c>
      <c r="I82" s="11" t="n"/>
      <c r="J82" s="11" t="n"/>
      <c r="K82" s="11" t="n"/>
      <c r="L82" s="8">
        <f>IF(OR(J82="",J82=0),"",MAX(J82-N(K82),0))</f>
        <v/>
      </c>
      <c r="M82" s="11" t="n"/>
      <c r="N82" s="12" t="n"/>
      <c r="O82" s="13">
        <f>IF(OR(L82="",N82=""),"",L82*N82)</f>
        <v/>
      </c>
      <c r="P82" s="11" t="n"/>
    </row>
    <row r="83">
      <c r="A83" s="8" t="n">
        <v>73</v>
      </c>
      <c r="B83" s="8" t="inlineStr">
        <is>
          <t>Fruit &amp; Veg</t>
        </is>
      </c>
      <c r="C83" s="9" t="inlineStr">
        <is>
          <t>Chillies, fresh</t>
        </is>
      </c>
      <c r="D83" s="10" t="inlineStr">
        <is>
          <t>Sambals, cham</t>
        </is>
      </c>
      <c r="E83" s="8" t="inlineStr">
        <is>
          <t>kg</t>
        </is>
      </c>
      <c r="F83" s="10" t="inlineStr">
        <is>
          <t>Lunch, Dinner, Midweek, Supper Club, Canapés, Functions</t>
        </is>
      </c>
      <c r="G83" s="10" t="inlineStr">
        <is>
          <t>Tuna Crudo (Lunch); Potato Pancake (Lunch); Confit Summer Squash (Lunch); Seafood Lunch Platter (Lunch); Pork Belly (main) (Dinner); Roast Barramundi (Dinner); Confit Summer Squash (Dinner); Lobster Bouillabaisse (Dinner); Seafood Platter for Two (Dinner); Tuna Crudo (Dinner); Potato Pancake (Dinner); Tuna Crudo (Midweek); Pork Belly (main) (Midweek); Roast Barramundi (Midweek); Confit Summer Squash (Midweek); Prawns &amp; Rouille (Supper Club); Kataifi Prawns (Supper Club); Koji Pork Belly (Supper Club); Pork Belly Skewers (Supper Club); Tuna Crudo (Supper Club); Crab Potato Pancake (Supper Club); Confit Squash (Supper Club); Tuna Crudo Spoon (Canapés); Lobster Bouillabaisse Cup (Canapés); Confit Squash (Canapés); Barramundi Bite (Canapés); Crab Potato Pancake (Canapés); Tuna Crudo (Functions); Potato Pancake (Functions); Seafood Platter for Two (Functions)</t>
        </is>
      </c>
      <c r="H83" s="8" t="n">
        <v>30</v>
      </c>
      <c r="I83" s="11" t="n"/>
      <c r="J83" s="11" t="n"/>
      <c r="K83" s="11" t="n"/>
      <c r="L83" s="8">
        <f>IF(OR(J83="",J83=0),"",MAX(J83-N(K83),0))</f>
        <v/>
      </c>
      <c r="M83" s="11" t="n"/>
      <c r="N83" s="12" t="n"/>
      <c r="O83" s="13">
        <f>IF(OR(L83="",N83=""),"",L83*N83)</f>
        <v/>
      </c>
      <c r="P83" s="11" t="n"/>
    </row>
    <row r="84">
      <c r="A84" s="8" t="n">
        <v>74</v>
      </c>
      <c r="B84" s="8" t="inlineStr">
        <is>
          <t>Fruit &amp; Veg</t>
        </is>
      </c>
      <c r="C84" s="9" t="inlineStr">
        <is>
          <t>Bananas</t>
        </is>
      </c>
      <c r="D84" s="10" t="inlineStr">
        <is>
          <t>Banana bread</t>
        </is>
      </c>
      <c r="E84" s="8" t="inlineStr">
        <is>
          <t>kg</t>
        </is>
      </c>
      <c r="F84" s="10" t="inlineStr">
        <is>
          <t>Breakfast</t>
        </is>
      </c>
      <c r="G84" s="10" t="inlineStr">
        <is>
          <t>Banana Bread (Breakfast)</t>
        </is>
      </c>
      <c r="H84" s="8" t="n">
        <v>1</v>
      </c>
      <c r="I84" s="11" t="n"/>
      <c r="J84" s="11" t="n"/>
      <c r="K84" s="11" t="n"/>
      <c r="L84" s="8">
        <f>IF(OR(J84="",J84=0),"",MAX(J84-N(K84),0))</f>
        <v/>
      </c>
      <c r="M84" s="11" t="n"/>
      <c r="N84" s="12" t="n"/>
      <c r="O84" s="13">
        <f>IF(OR(L84="",N84=""),"",L84*N84)</f>
        <v/>
      </c>
      <c r="P84" s="11" t="n"/>
    </row>
    <row r="85">
      <c r="A85" s="8" t="n">
        <v>75</v>
      </c>
      <c r="B85" s="8" t="inlineStr">
        <is>
          <t>Fruit &amp; Veg</t>
        </is>
      </c>
      <c r="C85" s="9" t="inlineStr">
        <is>
          <t>Seasonal berries</t>
        </is>
      </c>
      <c r="D85" s="10" t="inlineStr">
        <is>
          <t>Banana bread, raisin toast, granola, waffles</t>
        </is>
      </c>
      <c r="E85" s="8" t="inlineStr">
        <is>
          <t>punnet</t>
        </is>
      </c>
      <c r="F85" s="10" t="inlineStr">
        <is>
          <t>Breakfast</t>
        </is>
      </c>
      <c r="G85" s="10" t="inlineStr">
        <is>
          <t>Banana Bread (Breakfast); Raisin Toast (Breakfast); Double Waffles (Breakfast)</t>
        </is>
      </c>
      <c r="H85" s="8" t="n">
        <v>3</v>
      </c>
      <c r="I85" s="11" t="n"/>
      <c r="J85" s="11" t="n"/>
      <c r="K85" s="11" t="n"/>
      <c r="L85" s="8">
        <f>IF(OR(J85="",J85=0),"",MAX(J85-N(K85),0))</f>
        <v/>
      </c>
      <c r="M85" s="11" t="n"/>
      <c r="N85" s="12" t="n"/>
      <c r="O85" s="13">
        <f>IF(OR(L85="",N85=""),"",L85*N85)</f>
        <v/>
      </c>
      <c r="P85" s="11" t="n"/>
    </row>
    <row r="86">
      <c r="A86" s="8" t="n">
        <v>76</v>
      </c>
      <c r="B86" s="8" t="inlineStr">
        <is>
          <t>Fruit &amp; Veg</t>
        </is>
      </c>
      <c r="C86" s="9" t="inlineStr">
        <is>
          <t>Seasonal fruit (for granola/waffles)</t>
        </is>
      </c>
      <c r="D86" s="10" t="inlineStr">
        <is>
          <t>Chef's choice</t>
        </is>
      </c>
      <c r="E86" s="8" t="inlineStr">
        <is>
          <t>kg</t>
        </is>
      </c>
      <c r="F86" s="10" t="inlineStr">
        <is>
          <t>Breakfast</t>
        </is>
      </c>
      <c r="G86" s="10" t="inlineStr">
        <is>
          <t>Grandma's Granola (Breakfast); Double Waffles (Breakfast)</t>
        </is>
      </c>
      <c r="H86" s="8" t="n">
        <v>2</v>
      </c>
      <c r="I86" s="11" t="n"/>
      <c r="J86" s="11" t="n"/>
      <c r="K86" s="11" t="n"/>
      <c r="L86" s="8">
        <f>IF(OR(J86="",J86=0),"",MAX(J86-N(K86),0))</f>
        <v/>
      </c>
      <c r="M86" s="11" t="n"/>
      <c r="N86" s="12" t="n"/>
      <c r="O86" s="13">
        <f>IF(OR(L86="",N86=""),"",L86*N86)</f>
        <v/>
      </c>
      <c r="P86" s="11" t="n"/>
    </row>
    <row r="87">
      <c r="A87" s="8" t="n">
        <v>77</v>
      </c>
      <c r="B87" s="8" t="inlineStr">
        <is>
          <t>Fruit &amp; Veg</t>
        </is>
      </c>
      <c r="C87" s="9" t="inlineStr">
        <is>
          <t>Sorbet fruit / purée</t>
        </is>
      </c>
      <c r="D87" s="10" t="inlineStr">
        <is>
          <t>Sorbet trio (3 flavours) + ganache sorbet — confirm flavours</t>
        </is>
      </c>
      <c r="E87" s="8" t="inlineStr">
        <is>
          <t>kg</t>
        </is>
      </c>
      <c r="F87" s="10" t="inlineStr">
        <is>
          <t>Lunch, Midweek, Supper Club, Canapés, Functions</t>
        </is>
      </c>
      <c r="G87" s="10" t="inlineStr">
        <is>
          <t>Chocolate Ganache (Lunch); Sorbet Trio (Lunch); Chocolate Ganache (Midweek); Sorbet Trio (Midweek); Chocolate Ganache (Supper Club); Sorbet Trio (Supper Club); Chocolate Ganache (Canapés); Chocolate Ganache (Functions)</t>
        </is>
      </c>
      <c r="H87" s="8" t="n">
        <v>8</v>
      </c>
      <c r="I87" s="11" t="n"/>
      <c r="J87" s="11" t="n"/>
      <c r="K87" s="11" t="n"/>
      <c r="L87" s="8">
        <f>IF(OR(J87="",J87=0),"",MAX(J87-N(K87),0))</f>
        <v/>
      </c>
      <c r="M87" s="11" t="n"/>
      <c r="N87" s="12" t="n"/>
      <c r="O87" s="13">
        <f>IF(OR(L87="",N87=""),"",L87*N87)</f>
        <v/>
      </c>
      <c r="P87" s="11" t="n"/>
    </row>
    <row r="88">
      <c r="A88" s="6" t="inlineStr">
        <is>
          <t>Bakery</t>
        </is>
      </c>
      <c r="B88" s="7" t="n"/>
      <c r="C88" s="7" t="n"/>
      <c r="D88" s="7" t="n"/>
      <c r="E88" s="7" t="n"/>
      <c r="F88" s="7" t="n"/>
      <c r="G88" s="7" t="n"/>
      <c r="H88" s="7" t="n"/>
      <c r="I88" s="7" t="n"/>
      <c r="J88" s="7" t="n"/>
      <c r="K88" s="7" t="n"/>
      <c r="L88" s="7" t="n"/>
      <c r="M88" s="7" t="n"/>
      <c r="N88" s="7" t="n"/>
      <c r="O88" s="7" t="n"/>
      <c r="P88" s="7" t="n"/>
    </row>
    <row r="89">
      <c r="A89" s="8" t="n">
        <v>78</v>
      </c>
      <c r="B89" s="8" t="inlineStr">
        <is>
          <t>Bakery</t>
        </is>
      </c>
      <c r="C89" s="9" t="inlineStr">
        <is>
          <t>House bread</t>
        </is>
      </c>
      <c r="D89" s="10" t="inlineStr">
        <is>
          <t>Sourdough loaves; toast, big breakfast, wagyu, sando, platters, add-on</t>
        </is>
      </c>
      <c r="E89" s="8" t="inlineStr">
        <is>
          <t>loaf</t>
        </is>
      </c>
      <c r="F89" s="10" t="inlineStr">
        <is>
          <t>Breakfast, Lunch, Dinner, Midweek, Supper Club, Functions</t>
        </is>
      </c>
      <c r="G89" s="10" t="inlineStr">
        <is>
          <t>House Bread Toast (Breakfast); The Big Breakfast (Breakfast); Wagyu &amp; Eggs (Breakfast); House Bread (Lunch); C.F.D. Katsu Sando (Lunch); Seafood Lunch Platter (Lunch); Seafood Platter for Two (Dinner); House Bread (Dinner); Add-on: Two Slices House Bread (Midweek); Anchovy Toast (Supper Club); BBQ Lamb on Bread (Supper Club); Katsu Duck Sando (Supper Club); Corn &amp; Tofu Toast (Supper Club); House bread for the table (Supper Club); House Bread (Functions); Seafood Platter for Two (Functions)</t>
        </is>
      </c>
      <c r="H89" s="8" t="n">
        <v>16</v>
      </c>
      <c r="I89" s="11" t="n"/>
      <c r="J89" s="11" t="n"/>
      <c r="K89" s="11" t="n"/>
      <c r="L89" s="8">
        <f>IF(OR(J89="",J89=0),"",MAX(J89-N(K89),0))</f>
        <v/>
      </c>
      <c r="M89" s="11" t="n"/>
      <c r="N89" s="12" t="n"/>
      <c r="O89" s="13">
        <f>IF(OR(L89="",N89=""),"",L89*N89)</f>
        <v/>
      </c>
      <c r="P89" s="11" t="n"/>
    </row>
    <row r="90">
      <c r="A90" s="8" t="n">
        <v>79</v>
      </c>
      <c r="B90" s="8" t="inlineStr">
        <is>
          <t>Bakery</t>
        </is>
      </c>
      <c r="C90" s="9" t="inlineStr">
        <is>
          <t>Bread rolls (brioche/milk bun)</t>
        </is>
      </c>
      <c r="D90" s="10" t="inlineStr">
        <is>
          <t>Bacon &amp; egg roll, kids roll</t>
        </is>
      </c>
      <c r="E90" s="8" t="inlineStr">
        <is>
          <t>each</t>
        </is>
      </c>
      <c r="F90" s="10" t="inlineStr">
        <is>
          <t>Breakfast</t>
        </is>
      </c>
      <c r="G90" s="10" t="inlineStr">
        <is>
          <t>Double Bacon &amp; Egg Roll (Breakfast); Kids — Bacon &amp; Egg Roll (Breakfast)</t>
        </is>
      </c>
      <c r="H90" s="8" t="n">
        <v>2</v>
      </c>
      <c r="I90" s="11" t="n"/>
      <c r="J90" s="11" t="n"/>
      <c r="K90" s="11" t="n"/>
      <c r="L90" s="8">
        <f>IF(OR(J90="",J90=0),"",MAX(J90-N(K90),0))</f>
        <v/>
      </c>
      <c r="M90" s="11" t="n"/>
      <c r="N90" s="12" t="n"/>
      <c r="O90" s="13">
        <f>IF(OR(L90="",N90=""),"",L90*N90)</f>
        <v/>
      </c>
      <c r="P90" s="11" t="n"/>
    </row>
    <row r="91">
      <c r="A91" s="8" t="n">
        <v>80</v>
      </c>
      <c r="B91" s="8" t="inlineStr">
        <is>
          <t>Bakery</t>
        </is>
      </c>
      <c r="C91" s="9" t="inlineStr">
        <is>
          <t>Bánh mì baguettes</t>
        </is>
      </c>
      <c r="D91" s="10" t="inlineStr">
        <is>
          <t>Pork belly bánh mì</t>
        </is>
      </c>
      <c r="E91" s="8" t="inlineStr">
        <is>
          <t>each</t>
        </is>
      </c>
      <c r="F91" s="10" t="inlineStr">
        <is>
          <t>Breakfast, Lunch</t>
        </is>
      </c>
      <c r="G91" s="10" t="inlineStr">
        <is>
          <t>Pork Belly Bánh Mì (Breakfast); Pork Belly Bánh Mì (Lunch)</t>
        </is>
      </c>
      <c r="H91" s="8" t="n">
        <v>2</v>
      </c>
      <c r="I91" s="11" t="n"/>
      <c r="J91" s="11" t="n"/>
      <c r="K91" s="11" t="n"/>
      <c r="L91" s="8">
        <f>IF(OR(J91="",J91=0),"",MAX(J91-N(K91),0))</f>
        <v/>
      </c>
      <c r="M91" s="11" t="n"/>
      <c r="N91" s="12" t="n"/>
      <c r="O91" s="13">
        <f>IF(OR(L91="",N91=""),"",L91*N91)</f>
        <v/>
      </c>
      <c r="P91" s="11" t="n"/>
    </row>
    <row r="92">
      <c r="A92" s="8" t="n">
        <v>81</v>
      </c>
      <c r="B92" s="8" t="inlineStr">
        <is>
          <t>Bakery</t>
        </is>
      </c>
      <c r="C92" s="9" t="inlineStr">
        <is>
          <t>Raisin bread</t>
        </is>
      </c>
      <c r="D92" s="10" t="inlineStr">
        <is>
          <t>Raisin toast</t>
        </is>
      </c>
      <c r="E92" s="8" t="inlineStr">
        <is>
          <t>loaf</t>
        </is>
      </c>
      <c r="F92" s="10" t="inlineStr">
        <is>
          <t>Breakfast</t>
        </is>
      </c>
      <c r="G92" s="10" t="inlineStr">
        <is>
          <t>Raisin Toast (Breakfast)</t>
        </is>
      </c>
      <c r="H92" s="8" t="n">
        <v>1</v>
      </c>
      <c r="I92" s="11" t="n"/>
      <c r="J92" s="11" t="n"/>
      <c r="K92" s="11" t="n"/>
      <c r="L92" s="8">
        <f>IF(OR(J92="",J92=0),"",MAX(J92-N(K92),0))</f>
        <v/>
      </c>
      <c r="M92" s="11" t="n"/>
      <c r="N92" s="12" t="n"/>
      <c r="O92" s="13">
        <f>IF(OR(L92="",N92=""),"",L92*N92)</f>
        <v/>
      </c>
      <c r="P92" s="11" t="n"/>
    </row>
    <row r="93">
      <c r="A93" s="8" t="n">
        <v>82</v>
      </c>
      <c r="B93" s="8" t="inlineStr">
        <is>
          <t>Bakery</t>
        </is>
      </c>
      <c r="C93" s="9" t="inlineStr">
        <is>
          <t>Croissants</t>
        </is>
      </c>
      <c r="D93" s="10" t="inlineStr">
        <is>
          <t>Ham &amp; cheese croissant</t>
        </is>
      </c>
      <c r="E93" s="8" t="inlineStr">
        <is>
          <t>each</t>
        </is>
      </c>
      <c r="F93" s="10" t="inlineStr">
        <is>
          <t>Breakfast</t>
        </is>
      </c>
      <c r="G93" s="10" t="inlineStr">
        <is>
          <t>Ham &amp; Cheese Croissant (Breakfast)</t>
        </is>
      </c>
      <c r="H93" s="8" t="n">
        <v>1</v>
      </c>
      <c r="I93" s="11" t="n"/>
      <c r="J93" s="11" t="n"/>
      <c r="K93" s="11" t="n"/>
      <c r="L93" s="8">
        <f>IF(OR(J93="",J93=0),"",MAX(J93-N(K93),0))</f>
        <v/>
      </c>
      <c r="M93" s="11" t="n"/>
      <c r="N93" s="12" t="n"/>
      <c r="O93" s="13">
        <f>IF(OR(L93="",N93=""),"",L93*N93)</f>
        <v/>
      </c>
      <c r="P93" s="11" t="n"/>
    </row>
    <row r="94">
      <c r="A94" s="8" t="n">
        <v>83</v>
      </c>
      <c r="B94" s="8" t="inlineStr">
        <is>
          <t>Bakery</t>
        </is>
      </c>
      <c r="C94" s="9" t="inlineStr">
        <is>
          <t>English muffins (or bread for benedict)</t>
        </is>
      </c>
      <c r="D94" s="10" t="inlineStr">
        <is>
          <t>Eggs benedict base — not stated on menu</t>
        </is>
      </c>
      <c r="E94" s="8" t="inlineStr">
        <is>
          <t>each</t>
        </is>
      </c>
      <c r="F94" s="10" t="inlineStr">
        <is>
          <t>Breakfast</t>
        </is>
      </c>
      <c r="G94" s="10" t="inlineStr">
        <is>
          <t>The Real Eggs Benedict (Breakfast)</t>
        </is>
      </c>
      <c r="H94" s="8" t="n">
        <v>1</v>
      </c>
      <c r="I94" s="11" t="n"/>
      <c r="J94" s="11" t="n"/>
      <c r="K94" s="11" t="n"/>
      <c r="L94" s="8">
        <f>IF(OR(J94="",J94=0),"",MAX(J94-N(K94),0))</f>
        <v/>
      </c>
      <c r="M94" s="11" t="n"/>
      <c r="N94" s="12" t="n"/>
      <c r="O94" s="13">
        <f>IF(OR(L94="",N94=""),"",L94*N94)</f>
        <v/>
      </c>
      <c r="P94" s="11" t="n"/>
    </row>
    <row r="95">
      <c r="A95" s="8" t="n">
        <v>84</v>
      </c>
      <c r="B95" s="8" t="inlineStr">
        <is>
          <t>Bakery</t>
        </is>
      </c>
      <c r="C95" s="9" t="inlineStr">
        <is>
          <t>Tart shells (canapé size)</t>
        </is>
      </c>
      <c r="D95" s="10" t="inlineStr">
        <is>
          <t>Sesame tofu tart</t>
        </is>
      </c>
      <c r="E95" s="8" t="inlineStr">
        <is>
          <t>each</t>
        </is>
      </c>
      <c r="F95" s="10" t="inlineStr">
        <is>
          <t>Canapés</t>
        </is>
      </c>
      <c r="G95" s="10" t="inlineStr">
        <is>
          <t>Sesame Tofu Tart (Canapés)</t>
        </is>
      </c>
      <c r="H95" s="8" t="n">
        <v>1</v>
      </c>
      <c r="I95" s="11" t="n"/>
      <c r="J95" s="11" t="n"/>
      <c r="K95" s="11" t="n"/>
      <c r="L95" s="8">
        <f>IF(OR(J95="",J95=0),"",MAX(J95-N(K95),0))</f>
        <v/>
      </c>
      <c r="M95" s="11" t="n"/>
      <c r="N95" s="12" t="n"/>
      <c r="O95" s="13">
        <f>IF(OR(L95="",N95=""),"",L95*N95)</f>
        <v/>
      </c>
      <c r="P95" s="11" t="n"/>
    </row>
    <row r="96">
      <c r="A96" s="6" t="inlineStr">
        <is>
          <t>Dry Goods &amp; Baking</t>
        </is>
      </c>
      <c r="B96" s="7" t="n"/>
      <c r="C96" s="7" t="n"/>
      <c r="D96" s="7" t="n"/>
      <c r="E96" s="7" t="n"/>
      <c r="F96" s="7" t="n"/>
      <c r="G96" s="7" t="n"/>
      <c r="H96" s="7" t="n"/>
      <c r="I96" s="7" t="n"/>
      <c r="J96" s="7" t="n"/>
      <c r="K96" s="7" t="n"/>
      <c r="L96" s="7" t="n"/>
      <c r="M96" s="7" t="n"/>
      <c r="N96" s="7" t="n"/>
      <c r="O96" s="7" t="n"/>
      <c r="P96" s="7" t="n"/>
    </row>
    <row r="97">
      <c r="A97" s="8" t="n">
        <v>85</v>
      </c>
      <c r="B97" s="8" t="inlineStr">
        <is>
          <t>Dry Goods &amp; Baking</t>
        </is>
      </c>
      <c r="C97" s="9" t="inlineStr">
        <is>
          <t>Plain flour</t>
        </is>
      </c>
      <c r="D97" s="10" t="inlineStr">
        <is>
          <t>Banana bread, waffles, katsu, rösti</t>
        </is>
      </c>
      <c r="E97" s="8" t="inlineStr">
        <is>
          <t>kg</t>
        </is>
      </c>
      <c r="F97" s="10" t="inlineStr">
        <is>
          <t>Breakfast, Lunch, Dinner, Midweek, Supper Club, Canapés, Functions</t>
        </is>
      </c>
      <c r="G97" s="10" t="inlineStr">
        <is>
          <t>Crab Pancake &amp; Eggs (Breakfast); Banana Bread (Breakfast); Double Waffles (Breakfast); Kids — Waffles with Ice Cream (Breakfast); C.F.D. Hash (Breakfast); Potato Pancake (Lunch); C.F.D. Katsu Sando (Lunch); C.F.D. Cecilia's Fried Duck (Dinner); Potato Pancake (Dinner); C.F.D. Cecilia's Fried Duck (Midweek); Katsu Duck Sando (Supper Club); Crab Potato Pancake (Supper Club); C.F.D. Bites (Supper Club); C.F.D. Bite (Canapés); Crab Potato Pancake (Canapés); Potato Pancake (Functions); C.F.D. Cecilia's Fried Duck (Functions)</t>
        </is>
      </c>
      <c r="H97" s="8" t="n">
        <v>17</v>
      </c>
      <c r="I97" s="11" t="n"/>
      <c r="J97" s="11" t="n"/>
      <c r="K97" s="11" t="n"/>
      <c r="L97" s="8">
        <f>IF(OR(J97="",J97=0),"",MAX(J97-N(K97),0))</f>
        <v/>
      </c>
      <c r="M97" s="11" t="n"/>
      <c r="N97" s="12" t="n"/>
      <c r="O97" s="13">
        <f>IF(OR(L97="",N97=""),"",L97*N97)</f>
        <v/>
      </c>
      <c r="P97" s="11" t="n"/>
    </row>
    <row r="98">
      <c r="A98" s="8" t="n">
        <v>86</v>
      </c>
      <c r="B98" s="8" t="inlineStr">
        <is>
          <t>Dry Goods &amp; Baking</t>
        </is>
      </c>
      <c r="C98" s="9" t="inlineStr">
        <is>
          <t>Caster sugar</t>
        </is>
      </c>
      <c r="D98" s="10" t="inlineStr">
        <is>
          <t>Baking, sorbet, cheesecake</t>
        </is>
      </c>
      <c r="E98" s="8" t="inlineStr">
        <is>
          <t>kg</t>
        </is>
      </c>
      <c r="F98" s="10" t="inlineStr">
        <is>
          <t>Breakfast, Lunch, Dinner, Midweek, Supper Club, Canapés, Functions</t>
        </is>
      </c>
      <c r="G98" s="10" t="inlineStr">
        <is>
          <t>Double Bacon &amp; Egg Roll (Breakfast); Banana Bread (Breakfast); The Green Plate (Breakfast); Whipped Sesame Tofu (Lunch); Chef's Cheesecake (Lunch); Chocolate Ganache (Lunch); Sorbet Trio (Lunch); Whipped Sesame Tofu (Dinner); Whipped Sesame Tofu (Midweek); Chef's Cheesecake (Midweek); Chocolate Ganache (Midweek); Sorbet Trio (Midweek); Whipped Sesame Tofu (Supper Club); Chef's Cheesecake (Supper Club); Chocolate Ganache (Supper Club); Sorbet Trio (Supper Club); Sesame Tofu Tart (Canapés); Cheesecake Bite (Canapés); Chocolate Ganache (Canapés); Chef's Cheesecake (Functions); Chocolate Ganache (Functions); Whipped Sesame Tofu (Functions)</t>
        </is>
      </c>
      <c r="H98" s="8" t="n">
        <v>22</v>
      </c>
      <c r="I98" s="11" t="n"/>
      <c r="J98" s="11" t="n"/>
      <c r="K98" s="11" t="n"/>
      <c r="L98" s="8">
        <f>IF(OR(J98="",J98=0),"",MAX(J98-N(K98),0))</f>
        <v/>
      </c>
      <c r="M98" s="11" t="n"/>
      <c r="N98" s="12" t="n"/>
      <c r="O98" s="13">
        <f>IF(OR(L98="",N98=""),"",L98*N98)</f>
        <v/>
      </c>
      <c r="P98" s="11" t="n"/>
    </row>
    <row r="99">
      <c r="A99" s="8" t="n">
        <v>87</v>
      </c>
      <c r="B99" s="8" t="inlineStr">
        <is>
          <t>Dry Goods &amp; Baking</t>
        </is>
      </c>
      <c r="C99" s="9" t="inlineStr">
        <is>
          <t>Glucose syrup</t>
        </is>
      </c>
      <c r="D99" s="10" t="inlineStr">
        <is>
          <t>Sorbet</t>
        </is>
      </c>
      <c r="E99" s="8" t="inlineStr">
        <is>
          <t>kg</t>
        </is>
      </c>
      <c r="F99" s="10" t="inlineStr">
        <is>
          <t>Lunch, Midweek, Supper Club, Canapés, Functions</t>
        </is>
      </c>
      <c r="G99" s="10" t="inlineStr">
        <is>
          <t>Chocolate Ganache (Lunch); Sorbet Trio (Lunch); Chocolate Ganache (Midweek); Sorbet Trio (Midweek); Chocolate Ganache (Supper Club); Sorbet Trio (Supper Club); Chocolate Ganache (Canapés); Chocolate Ganache (Functions)</t>
        </is>
      </c>
      <c r="H99" s="8" t="n">
        <v>8</v>
      </c>
      <c r="I99" s="11" t="n"/>
      <c r="J99" s="11" t="n"/>
      <c r="K99" s="11" t="n"/>
      <c r="L99" s="8">
        <f>IF(OR(J99="",J99=0),"",MAX(J99-N(K99),0))</f>
        <v/>
      </c>
      <c r="M99" s="11" t="n"/>
      <c r="N99" s="12" t="n"/>
      <c r="O99" s="13">
        <f>IF(OR(L99="",N99=""),"",L99*N99)</f>
        <v/>
      </c>
      <c r="P99" s="11" t="n"/>
    </row>
    <row r="100">
      <c r="A100" s="8" t="n">
        <v>88</v>
      </c>
      <c r="B100" s="8" t="inlineStr">
        <is>
          <t>Dry Goods &amp; Baking</t>
        </is>
      </c>
      <c r="C100" s="9" t="inlineStr">
        <is>
          <t>Rolled oats</t>
        </is>
      </c>
      <c r="D100" s="10" t="inlineStr">
        <is>
          <t>Grandma's granola</t>
        </is>
      </c>
      <c r="E100" s="8" t="inlineStr">
        <is>
          <t>kg</t>
        </is>
      </c>
      <c r="F100" s="10" t="inlineStr">
        <is>
          <t>Breakfast</t>
        </is>
      </c>
      <c r="G100" s="10" t="inlineStr">
        <is>
          <t>Grandma's Granola (Breakfast)</t>
        </is>
      </c>
      <c r="H100" s="8" t="n">
        <v>1</v>
      </c>
      <c r="I100" s="11" t="n"/>
      <c r="J100" s="11" t="n"/>
      <c r="K100" s="11" t="n"/>
      <c r="L100" s="8">
        <f>IF(OR(J100="",J100=0),"",MAX(J100-N(K100),0))</f>
        <v/>
      </c>
      <c r="M100" s="11" t="n"/>
      <c r="N100" s="12" t="n"/>
      <c r="O100" s="13">
        <f>IF(OR(L100="",N100=""),"",L100*N100)</f>
        <v/>
      </c>
      <c r="P100" s="11" t="n"/>
    </row>
    <row r="101">
      <c r="A101" s="8" t="n">
        <v>89</v>
      </c>
      <c r="B101" s="8" t="inlineStr">
        <is>
          <t>Dry Goods &amp; Baking</t>
        </is>
      </c>
      <c r="C101" s="9" t="inlineStr">
        <is>
          <t>Nuts &amp; seeds mix</t>
        </is>
      </c>
      <c r="D101" s="10" t="inlineStr">
        <is>
          <t>Granola</t>
        </is>
      </c>
      <c r="E101" s="8" t="inlineStr">
        <is>
          <t>kg</t>
        </is>
      </c>
      <c r="F101" s="10" t="inlineStr">
        <is>
          <t>Breakfast</t>
        </is>
      </c>
      <c r="G101" s="10" t="inlineStr">
        <is>
          <t>Grandma's Granola (Breakfast)</t>
        </is>
      </c>
      <c r="H101" s="8" t="n">
        <v>1</v>
      </c>
      <c r="I101" s="11" t="n"/>
      <c r="J101" s="11" t="n"/>
      <c r="K101" s="11" t="n"/>
      <c r="L101" s="8">
        <f>IF(OR(J101="",J101=0),"",MAX(J101-N(K101),0))</f>
        <v/>
      </c>
      <c r="M101" s="11" t="n"/>
      <c r="N101" s="12" t="n"/>
      <c r="O101" s="13">
        <f>IF(OR(L101="",N101=""),"",L101*N101)</f>
        <v/>
      </c>
      <c r="P101" s="11" t="n"/>
    </row>
    <row r="102">
      <c r="A102" s="8" t="n">
        <v>90</v>
      </c>
      <c r="B102" s="8" t="inlineStr">
        <is>
          <t>Dry Goods &amp; Baking</t>
        </is>
      </c>
      <c r="C102" s="9" t="inlineStr">
        <is>
          <t>Honey</t>
        </is>
      </c>
      <c r="D102" s="10" t="inlineStr">
        <is>
          <t>Granola</t>
        </is>
      </c>
      <c r="E102" s="8" t="inlineStr">
        <is>
          <t>kg</t>
        </is>
      </c>
      <c r="F102" s="10" t="inlineStr">
        <is>
          <t>Breakfast</t>
        </is>
      </c>
      <c r="G102" s="10" t="inlineStr">
        <is>
          <t>Grandma's Granola (Breakfast)</t>
        </is>
      </c>
      <c r="H102" s="8" t="n">
        <v>1</v>
      </c>
      <c r="I102" s="11" t="n"/>
      <c r="J102" s="11" t="n"/>
      <c r="K102" s="11" t="n"/>
      <c r="L102" s="8">
        <f>IF(OR(J102="",J102=0),"",MAX(J102-N(K102),0))</f>
        <v/>
      </c>
      <c r="M102" s="11" t="n"/>
      <c r="N102" s="12" t="n"/>
      <c r="O102" s="13">
        <f>IF(OR(L102="",N102=""),"",L102*N102)</f>
        <v/>
      </c>
      <c r="P102" s="11" t="n"/>
    </row>
    <row r="103">
      <c r="A103" s="8" t="n">
        <v>91</v>
      </c>
      <c r="B103" s="8" t="inlineStr">
        <is>
          <t>Dry Goods &amp; Baking</t>
        </is>
      </c>
      <c r="C103" s="9" t="inlineStr">
        <is>
          <t>Maple syrup</t>
        </is>
      </c>
      <c r="D103" s="10" t="inlineStr">
        <is>
          <t>Double waffles</t>
        </is>
      </c>
      <c r="E103" s="8" t="inlineStr">
        <is>
          <t>L</t>
        </is>
      </c>
      <c r="F103" s="10" t="inlineStr">
        <is>
          <t>Breakfast</t>
        </is>
      </c>
      <c r="G103" s="10" t="inlineStr">
        <is>
          <t>Double Waffles (Breakfast)</t>
        </is>
      </c>
      <c r="H103" s="8" t="n">
        <v>1</v>
      </c>
      <c r="I103" s="11" t="n"/>
      <c r="J103" s="11" t="n"/>
      <c r="K103" s="11" t="n"/>
      <c r="L103" s="8">
        <f>IF(OR(J103="",J103=0),"",MAX(J103-N(K103),0))</f>
        <v/>
      </c>
      <c r="M103" s="11" t="n"/>
      <c r="N103" s="12" t="n"/>
      <c r="O103" s="13">
        <f>IF(OR(L103="",N103=""),"",L103*N103)</f>
        <v/>
      </c>
      <c r="P103" s="11" t="n"/>
    </row>
    <row r="104">
      <c r="A104" s="8" t="n">
        <v>92</v>
      </c>
      <c r="B104" s="8" t="inlineStr">
        <is>
          <t>Dry Goods &amp; Baking</t>
        </is>
      </c>
      <c r="C104" s="9" t="inlineStr">
        <is>
          <t>Vanilla (bean/paste)</t>
        </is>
      </c>
      <c r="D104" s="10" t="inlineStr">
        <is>
          <t>Yoghurt, cheesecake</t>
        </is>
      </c>
      <c r="E104" s="8" t="inlineStr">
        <is>
          <t>each</t>
        </is>
      </c>
      <c r="F104" s="10" t="inlineStr">
        <is>
          <t>Breakfast, Lunch, Midweek, Supper Club, Canapés, Functions</t>
        </is>
      </c>
      <c r="G104" s="10" t="inlineStr">
        <is>
          <t>Grandma's Granola (Breakfast); Chef's Cheesecake (Lunch); Chef's Cheesecake (Midweek); Chef's Cheesecake (Supper Club); Cheesecake Bite (Canapés); Chef's Cheesecake (Functions)</t>
        </is>
      </c>
      <c r="H104" s="8" t="n">
        <v>6</v>
      </c>
      <c r="I104" s="11" t="n"/>
      <c r="J104" s="11" t="n"/>
      <c r="K104" s="11" t="n"/>
      <c r="L104" s="8">
        <f>IF(OR(J104="",J104=0),"",MAX(J104-N(K104),0))</f>
        <v/>
      </c>
      <c r="M104" s="11" t="n"/>
      <c r="N104" s="12" t="n"/>
      <c r="O104" s="13">
        <f>IF(OR(L104="",N104=""),"",L104*N104)</f>
        <v/>
      </c>
      <c r="P104" s="11" t="n"/>
    </row>
    <row r="105">
      <c r="A105" s="8" t="n">
        <v>93</v>
      </c>
      <c r="B105" s="8" t="inlineStr">
        <is>
          <t>Dry Goods &amp; Baking</t>
        </is>
      </c>
      <c r="C105" s="9" t="inlineStr">
        <is>
          <t>Dark chocolate (couverture)</t>
        </is>
      </c>
      <c r="D105" s="10" t="inlineStr">
        <is>
          <t>Chocolate ganache</t>
        </is>
      </c>
      <c r="E105" s="8" t="inlineStr">
        <is>
          <t>kg</t>
        </is>
      </c>
      <c r="F105" s="10" t="inlineStr">
        <is>
          <t>Lunch, Midweek, Supper Club, Canapés, Functions</t>
        </is>
      </c>
      <c r="G105" s="10" t="inlineStr">
        <is>
          <t>Chocolate Ganache (Lunch); Chocolate Ganache (Midweek); Chocolate Ganache (Supper Club); Chocolate Ganache (Canapés); Chocolate Ganache (Functions)</t>
        </is>
      </c>
      <c r="H105" s="8" t="n">
        <v>5</v>
      </c>
      <c r="I105" s="11" t="n"/>
      <c r="J105" s="11" t="n"/>
      <c r="K105" s="11" t="n"/>
      <c r="L105" s="8">
        <f>IF(OR(J105="",J105=0),"",MAX(J105-N(K105),0))</f>
        <v/>
      </c>
      <c r="M105" s="11" t="n"/>
      <c r="N105" s="12" t="n"/>
      <c r="O105" s="13">
        <f>IF(OR(L105="",N105=""),"",L105*N105)</f>
        <v/>
      </c>
      <c r="P105" s="11" t="n"/>
    </row>
    <row r="106">
      <c r="A106" s="8" t="n">
        <v>94</v>
      </c>
      <c r="B106" s="8" t="inlineStr">
        <is>
          <t>Dry Goods &amp; Baking</t>
        </is>
      </c>
      <c r="C106" s="9" t="inlineStr">
        <is>
          <t>Biscuits (cheesecake base)</t>
        </is>
      </c>
      <c r="D106" s="10" t="inlineStr">
        <is>
          <t>Chef's cheesecake</t>
        </is>
      </c>
      <c r="E106" s="8" t="inlineStr">
        <is>
          <t>kg</t>
        </is>
      </c>
      <c r="F106" s="10" t="inlineStr">
        <is>
          <t>Lunch, Midweek, Supper Club, Canapés, Functions</t>
        </is>
      </c>
      <c r="G106" s="10" t="inlineStr">
        <is>
          <t>Chef's Cheesecake (Lunch); Chef's Cheesecake (Midweek); Chef's Cheesecake (Supper Club); Cheesecake Bite (Canapés); Chef's Cheesecake (Functions)</t>
        </is>
      </c>
      <c r="H106" s="8" t="n">
        <v>5</v>
      </c>
      <c r="I106" s="11" t="n"/>
      <c r="J106" s="11" t="n"/>
      <c r="K106" s="11" t="n"/>
      <c r="L106" s="8">
        <f>IF(OR(J106="",J106=0),"",MAX(J106-N(K106),0))</f>
        <v/>
      </c>
      <c r="M106" s="11" t="n"/>
      <c r="N106" s="12" t="n"/>
      <c r="O106" s="13">
        <f>IF(OR(L106="",N106=""),"",L106*N106)</f>
        <v/>
      </c>
      <c r="P106" s="11" t="n"/>
    </row>
    <row r="107">
      <c r="A107" s="8" t="n">
        <v>95</v>
      </c>
      <c r="B107" s="8" t="inlineStr">
        <is>
          <t>Dry Goods &amp; Baking</t>
        </is>
      </c>
      <c r="C107" s="9" t="inlineStr">
        <is>
          <t>Baking powder / bicarb</t>
        </is>
      </c>
      <c r="D107" s="10" t="inlineStr">
        <is>
          <t>Banana bread, waffles</t>
        </is>
      </c>
      <c r="E107" s="8" t="inlineStr">
        <is>
          <t>kg</t>
        </is>
      </c>
      <c r="F107" s="10" t="inlineStr">
        <is>
          <t>Breakfast</t>
        </is>
      </c>
      <c r="G107" s="10" t="inlineStr">
        <is>
          <t>Banana Bread (Breakfast); Double Waffles (Breakfast)</t>
        </is>
      </c>
      <c r="H107" s="8" t="n">
        <v>2</v>
      </c>
      <c r="I107" s="11" t="n"/>
      <c r="J107" s="11" t="n"/>
      <c r="K107" s="11" t="n"/>
      <c r="L107" s="8">
        <f>IF(OR(J107="",J107=0),"",MAX(J107-N(K107),0))</f>
        <v/>
      </c>
      <c r="M107" s="11" t="n"/>
      <c r="N107" s="12" t="n"/>
      <c r="O107" s="13">
        <f>IF(OR(L107="",N107=""),"",L107*N107)</f>
        <v/>
      </c>
      <c r="P107" s="11" t="n"/>
    </row>
    <row r="108">
      <c r="A108" s="8" t="n">
        <v>96</v>
      </c>
      <c r="B108" s="8" t="inlineStr">
        <is>
          <t>Dry Goods &amp; Baking</t>
        </is>
      </c>
      <c r="C108" s="9" t="inlineStr">
        <is>
          <t>Raisins (if baking in-house)</t>
        </is>
      </c>
      <c r="D108" s="10" t="inlineStr">
        <is>
          <t>Raisin toast — skip if buying bread</t>
        </is>
      </c>
      <c r="E108" s="8" t="inlineStr">
        <is>
          <t>kg</t>
        </is>
      </c>
      <c r="F108" s="10" t="inlineStr"/>
      <c r="G108" s="10" t="inlineStr"/>
      <c r="H108" s="8" t="n">
        <v>0</v>
      </c>
      <c r="I108" s="11" t="n"/>
      <c r="J108" s="11" t="n"/>
      <c r="K108" s="11" t="n"/>
      <c r="L108" s="8">
        <f>IF(OR(J108="",J108=0),"",MAX(J108-N(K108),0))</f>
        <v/>
      </c>
      <c r="M108" s="11" t="n"/>
      <c r="N108" s="12" t="n"/>
      <c r="O108" s="13">
        <f>IF(OR(L108="",N108=""),"",L108*N108)</f>
        <v/>
      </c>
      <c r="P108" s="11" t="n"/>
    </row>
    <row r="109">
      <c r="A109" s="8" t="n">
        <v>97</v>
      </c>
      <c r="B109" s="8" t="inlineStr">
        <is>
          <t>Dry Goods &amp; Baking</t>
        </is>
      </c>
      <c r="C109" s="9" t="inlineStr">
        <is>
          <t>Saffron</t>
        </is>
      </c>
      <c r="D109" s="10" t="inlineStr">
        <is>
          <t>Prawn rouille, bouillabaisse</t>
        </is>
      </c>
      <c r="E109" s="8" t="inlineStr">
        <is>
          <t>g</t>
        </is>
      </c>
      <c r="F109" s="10" t="inlineStr">
        <is>
          <t>Lunch, Dinner, Midweek, Supper Club, Canapés, Functions</t>
        </is>
      </c>
      <c r="G109" s="10" t="inlineStr">
        <is>
          <t>Potato Pancake (Lunch); Seafood Lunch Platter (Lunch); Roast Barramundi (Dinner); Lobster Bouillabaisse (Dinner); Seafood Platter for Two (Dinner); Potato Pancake (Dinner); Roast Barramundi (Midweek); Prawns &amp; Rouille (Supper Club); Kataifi Prawns (Supper Club); Crab Potato Pancake (Supper Club); Lobster Bouillabaisse Cup (Canapés); Barramundi Bite (Canapés); Crab Potato Pancake (Canapés); Potato Pancake (Functions); Seafood Platter for Two (Functions)</t>
        </is>
      </c>
      <c r="H109" s="8" t="n">
        <v>15</v>
      </c>
      <c r="I109" s="11" t="n"/>
      <c r="J109" s="11" t="n"/>
      <c r="K109" s="11" t="n"/>
      <c r="L109" s="8">
        <f>IF(OR(J109="",J109=0),"",MAX(J109-N(K109),0))</f>
        <v/>
      </c>
      <c r="M109" s="11" t="n"/>
      <c r="N109" s="12" t="n"/>
      <c r="O109" s="13">
        <f>IF(OR(L109="",N109=""),"",L109*N109)</f>
        <v/>
      </c>
      <c r="P109" s="11" t="n"/>
    </row>
    <row r="110">
      <c r="A110" s="8" t="n">
        <v>98</v>
      </c>
      <c r="B110" s="8" t="inlineStr">
        <is>
          <t>Dry Goods &amp; Baking</t>
        </is>
      </c>
      <c r="C110" s="9" t="inlineStr">
        <is>
          <t>Kalamata / black olives</t>
        </is>
      </c>
      <c r="D110" s="10" t="inlineStr">
        <is>
          <t>Olive furikake, dried olives</t>
        </is>
      </c>
      <c r="E110" s="8" t="inlineStr">
        <is>
          <t>kg</t>
        </is>
      </c>
      <c r="F110" s="10" t="inlineStr">
        <is>
          <t>Lunch, Dinner, Midweek, Supper Club, Canapés, Functions</t>
        </is>
      </c>
      <c r="G110" s="10" t="inlineStr">
        <is>
          <t>Tuna Crudo (Lunch); BBQ Lamb Shoulder (Lunch); BBQ Lamb Shoulder (Dinner); Confit Summer Squash (Dinner); Tuna Crudo (Dinner); Tuna Crudo (Midweek); BBQ Lamb Shoulder (Midweek); Confit Summer Squash (Midweek); Summer Squash Crudo (Supper Club); Tuna Crudo (Supper Club); Confit Squash (Supper Club); Tuna Crudo Spoon (Canapés); Confit Squash (Canapés); BBQ Lamb Shoulder (Canapés); Tuna Crudo (Functions); BBQ Lamb Shoulder (Functions)</t>
        </is>
      </c>
      <c r="H110" s="8" t="n">
        <v>16</v>
      </c>
      <c r="I110" s="11" t="n"/>
      <c r="J110" s="11" t="n"/>
      <c r="K110" s="11" t="n"/>
      <c r="L110" s="8">
        <f>IF(OR(J110="",J110=0),"",MAX(J110-N(K110),0))</f>
        <v/>
      </c>
      <c r="M110" s="11" t="n"/>
      <c r="N110" s="12" t="n"/>
      <c r="O110" s="13">
        <f>IF(OR(L110="",N110=""),"",L110*N110)</f>
        <v/>
      </c>
      <c r="P110" s="11" t="n"/>
    </row>
    <row r="111">
      <c r="A111" s="8" t="n">
        <v>99</v>
      </c>
      <c r="B111" s="8" t="inlineStr">
        <is>
          <t>Dry Goods &amp; Baking</t>
        </is>
      </c>
      <c r="C111" s="9" t="inlineStr">
        <is>
          <t>Capers</t>
        </is>
      </c>
      <c r="D111" s="10" t="inlineStr">
        <is>
          <t>Tonnato</t>
        </is>
      </c>
      <c r="E111" s="8" t="inlineStr">
        <is>
          <t>jar</t>
        </is>
      </c>
      <c r="F111" s="10" t="inlineStr">
        <is>
          <t>Lunch, Dinner, Midweek, Supper Club, Canapés, Functions</t>
        </is>
      </c>
      <c r="G111" s="10" t="inlineStr">
        <is>
          <t>Seared Wagyu Skewers (Lunch); Roast Barramundi (Lunch); Roast Barramundi (Dinner); Seared Wagyu Skewers (Dinner); Seared Wagyu Skewers (Midweek); Roast Barramundi (Midweek); Barramundi Bites (Supper Club); Wagyu Skewers (Supper Club); Wagyu Skewer (Canapés); Barramundi Bite (Canapés); Seared Wagyu Skewers (Functions); Roast Barramundi (Functions)</t>
        </is>
      </c>
      <c r="H111" s="8" t="n">
        <v>12</v>
      </c>
      <c r="I111" s="11" t="n"/>
      <c r="J111" s="11" t="n"/>
      <c r="K111" s="11" t="n"/>
      <c r="L111" s="8">
        <f>IF(OR(J111="",J111=0),"",MAX(J111-N(K111),0))</f>
        <v/>
      </c>
      <c r="M111" s="11" t="n"/>
      <c r="N111" s="12" t="n"/>
      <c r="O111" s="13">
        <f>IF(OR(L111="",N111=""),"",L111*N111)</f>
        <v/>
      </c>
      <c r="P111" s="11" t="n"/>
    </row>
    <row r="112">
      <c r="A112" s="8" t="n">
        <v>100</v>
      </c>
      <c r="B112" s="8" t="inlineStr">
        <is>
          <t>Dry Goods &amp; Baking</t>
        </is>
      </c>
      <c r="C112" s="9" t="inlineStr">
        <is>
          <t>Freeze-dried corn (optional)</t>
        </is>
      </c>
      <c r="D112" s="10" t="inlineStr">
        <is>
          <t>Sweet corn crunch</t>
        </is>
      </c>
      <c r="E112" s="8" t="inlineStr">
        <is>
          <t>kg</t>
        </is>
      </c>
      <c r="F112" s="10" t="inlineStr">
        <is>
          <t>Lunch, Dinner, Midweek, Supper Club, Canapés, Functions</t>
        </is>
      </c>
      <c r="G112" s="10" t="inlineStr">
        <is>
          <t>Whipped Sesame Tofu (Lunch); Whipped Sesame Tofu (Dinner); Whipped Sesame Tofu (Midweek); Corn &amp; Tofu Toast (Supper Club); Whipped Sesame Tofu (Supper Club); Sesame Tofu Tart (Canapés); Whipped Sesame Tofu (Functions)</t>
        </is>
      </c>
      <c r="H112" s="8" t="n">
        <v>7</v>
      </c>
      <c r="I112" s="11" t="n"/>
      <c r="J112" s="11" t="n"/>
      <c r="K112" s="11" t="n"/>
      <c r="L112" s="8">
        <f>IF(OR(J112="",J112=0),"",MAX(J112-N(K112),0))</f>
        <v/>
      </c>
      <c r="M112" s="11" t="n"/>
      <c r="N112" s="12" t="n"/>
      <c r="O112" s="13">
        <f>IF(OR(L112="",N112=""),"",L112*N112)</f>
        <v/>
      </c>
      <c r="P112" s="11" t="n"/>
    </row>
    <row r="113">
      <c r="A113" s="8" t="n">
        <v>101</v>
      </c>
      <c r="B113" s="8" t="inlineStr">
        <is>
          <t>Dry Goods &amp; Baking</t>
        </is>
      </c>
      <c r="C113" s="9" t="inlineStr">
        <is>
          <t>Neutral oil (canola/rice bran)</t>
        </is>
      </c>
      <c r="D113" s="10" t="inlineStr">
        <is>
          <t>Frying, scallion oil, confit, rouille</t>
        </is>
      </c>
      <c r="E113" s="8" t="inlineStr">
        <is>
          <t>L</t>
        </is>
      </c>
      <c r="F113" s="10" t="inlineStr">
        <is>
          <t>Breakfast, Lunch, Dinner, Midweek, Supper Club, Canapés, Functions</t>
        </is>
      </c>
      <c r="G113" s="10" t="inlineStr">
        <is>
          <t>House Bread Toast (Breakfast); C.F.D. Hash (Breakfast); House Bread (Lunch); Seared Wagyu Skewers (Lunch); Potato Pancake (Lunch); C.F.D. Katsu Sando (Lunch); Roast Barramundi (Lunch); Seafood Lunch Platter (Lunch); Roast Barramundi (Dinner); C.F.D. Cecilia's Fried Duck (Dinner); Lobster Bouillabaisse (Dinner); Seafood Platter for Two (Dinner); House Bread (Dinner); Seared Wagyu Skewers (Dinner); Potato Pancake (Dinner); Add-on: Two Slices House Bread (Midweek); Seared Wagyu Skewers (Midweek); Roast Barramundi (Midweek); C.F.D. Cecilia's Fried Duck (Midweek); Prawns &amp; Rouille (Supper Club); Barramundi Bites (Supper Club); Kataifi Prawns (Supper Club); Duck Fat Corn (Supper Club); Katsu Duck Sando (Supper Club); Potato Rösti (Supper Club); Blistered Shishito (Supper Club); Crab Potato Pancake (Supper Club); Wagyu Skewers (Supper Club); C.F.D. Bites (Supper Club); House bread for the table (Supper Club); Wagyu Skewer (Canapés); Lobster Bouillabaisse Cup (Canapés); C.F.D. Bite (Canapés); Barramundi Bite (Canapés); Crab Potato Pancake (Canapés); House Bread (Functions); Seared Wagyu Skewers (Functions); Potato Pancake (Functions); Roast Barramundi (Functions); C.F.D. Cecilia's Fried Duck (Functions); Seafood Platter for Two (Functions)</t>
        </is>
      </c>
      <c r="H113" s="8" t="n">
        <v>41</v>
      </c>
      <c r="I113" s="11" t="n"/>
      <c r="J113" s="11" t="n"/>
      <c r="K113" s="11" t="n"/>
      <c r="L113" s="8">
        <f>IF(OR(J113="",J113=0),"",MAX(J113-N(K113),0))</f>
        <v/>
      </c>
      <c r="M113" s="11" t="n"/>
      <c r="N113" s="12" t="n"/>
      <c r="O113" s="13">
        <f>IF(OR(L113="",N113=""),"",L113*N113)</f>
        <v/>
      </c>
      <c r="P113" s="11" t="n"/>
    </row>
    <row r="114">
      <c r="A114" s="8" t="n">
        <v>102</v>
      </c>
      <c r="B114" s="8" t="inlineStr">
        <is>
          <t>Dry Goods &amp; Baking</t>
        </is>
      </c>
      <c r="C114" s="9" t="inlineStr">
        <is>
          <t>Extra virgin olive oil</t>
        </is>
      </c>
      <c r="D114" s="10" t="inlineStr">
        <is>
          <t>White anchovies, dressings</t>
        </is>
      </c>
      <c r="E114" s="8" t="inlineStr">
        <is>
          <t>L</t>
        </is>
      </c>
      <c r="F114" s="10" t="inlineStr">
        <is>
          <t>Dinner, Canapés</t>
        </is>
      </c>
      <c r="G114" s="10" t="inlineStr">
        <is>
          <t>White Anchovies (Dinner); White Anchovy Toast (Canapés)</t>
        </is>
      </c>
      <c r="H114" s="8" t="n">
        <v>2</v>
      </c>
      <c r="I114" s="11" t="n"/>
      <c r="J114" s="11" t="n"/>
      <c r="K114" s="11" t="n"/>
      <c r="L114" s="8">
        <f>IF(OR(J114="",J114=0),"",MAX(J114-N(K114),0))</f>
        <v/>
      </c>
      <c r="M114" s="11" t="n"/>
      <c r="N114" s="12" t="n"/>
      <c r="O114" s="13">
        <f>IF(OR(L114="",N114=""),"",L114*N114)</f>
        <v/>
      </c>
      <c r="P114" s="11" t="n"/>
    </row>
    <row r="115">
      <c r="A115" s="8" t="n">
        <v>103</v>
      </c>
      <c r="B115" s="8" t="inlineStr">
        <is>
          <t>Dry Goods &amp; Baking</t>
        </is>
      </c>
      <c r="C115" s="9" t="inlineStr">
        <is>
          <t>Salt &amp; pepper</t>
        </is>
      </c>
      <c r="D115" s="10" t="inlineStr">
        <is>
          <t>General</t>
        </is>
      </c>
      <c r="E115" s="8" t="inlineStr">
        <is>
          <t>kg</t>
        </is>
      </c>
      <c r="F115" s="10" t="inlineStr"/>
      <c r="G115" s="10" t="inlineStr"/>
      <c r="H115" s="8" t="n">
        <v>0</v>
      </c>
      <c r="I115" s="11" t="n"/>
      <c r="J115" s="11" t="n"/>
      <c r="K115" s="11" t="n"/>
      <c r="L115" s="8">
        <f>IF(OR(J115="",J115=0),"",MAX(J115-N(K115),0))</f>
        <v/>
      </c>
      <c r="M115" s="11" t="n"/>
      <c r="N115" s="12" t="n"/>
      <c r="O115" s="13">
        <f>IF(OR(L115="",N115=""),"",L115*N115)</f>
        <v/>
      </c>
      <c r="P115" s="11" t="n"/>
    </row>
    <row r="116">
      <c r="A116" s="6" t="inlineStr">
        <is>
          <t>Beverages &amp; Bar</t>
        </is>
      </c>
      <c r="B116" s="7" t="n"/>
      <c r="C116" s="7" t="n"/>
      <c r="D116" s="7" t="n"/>
      <c r="E116" s="7" t="n"/>
      <c r="F116" s="7" t="n"/>
      <c r="G116" s="7" t="n"/>
      <c r="H116" s="7" t="n"/>
      <c r="I116" s="7" t="n"/>
      <c r="J116" s="7" t="n"/>
      <c r="K116" s="7" t="n"/>
      <c r="L116" s="7" t="n"/>
      <c r="M116" s="7" t="n"/>
      <c r="N116" s="7" t="n"/>
      <c r="O116" s="7" t="n"/>
      <c r="P116" s="7" t="n"/>
    </row>
    <row r="117">
      <c r="A117" s="8" t="n">
        <v>104</v>
      </c>
      <c r="B117" s="8" t="inlineStr">
        <is>
          <t>Beverages &amp; Bar</t>
        </is>
      </c>
      <c r="C117" s="9" t="inlineStr">
        <is>
          <t>Coffee beans</t>
        </is>
      </c>
      <c r="D117" s="10" t="inlineStr">
        <is>
          <t>Chef's breakfast coffee, affogato espresso</t>
        </is>
      </c>
      <c r="E117" s="8" t="inlineStr">
        <is>
          <t>kg</t>
        </is>
      </c>
      <c r="F117" s="10" t="inlineStr">
        <is>
          <t>Breakfast, Lunch, Midweek, Supper Club, Canapés</t>
        </is>
      </c>
      <c r="G117" s="10" t="inlineStr">
        <is>
          <t>Chef's Breakfast (Breakfast); Affogato (Lunch); Affogato (Midweek); Affogato (Supper Club); Affogato Shot (Canapés)</t>
        </is>
      </c>
      <c r="H117" s="8" t="n">
        <v>5</v>
      </c>
      <c r="I117" s="11" t="n"/>
      <c r="J117" s="11" t="n"/>
      <c r="K117" s="11" t="n"/>
      <c r="L117" s="8">
        <f>IF(OR(J117="",J117=0),"",MAX(J117-N(K117),0))</f>
        <v/>
      </c>
      <c r="M117" s="11" t="n"/>
      <c r="N117" s="12" t="n"/>
      <c r="O117" s="13">
        <f>IF(OR(L117="",N117=""),"",L117*N117)</f>
        <v/>
      </c>
      <c r="P117" s="11" t="n"/>
    </row>
    <row r="118">
      <c r="A118" s="8" t="n">
        <v>105</v>
      </c>
      <c r="B118" s="8" t="inlineStr">
        <is>
          <t>Beverages &amp; Bar</t>
        </is>
      </c>
      <c r="C118" s="9" t="inlineStr">
        <is>
          <t>Tea (assorted)</t>
        </is>
      </c>
      <c r="D118" s="10" t="inlineStr">
        <is>
          <t>Chef's breakfast</t>
        </is>
      </c>
      <c r="E118" s="8" t="inlineStr">
        <is>
          <t>box</t>
        </is>
      </c>
      <c r="F118" s="10" t="inlineStr">
        <is>
          <t>Breakfast</t>
        </is>
      </c>
      <c r="G118" s="10" t="inlineStr">
        <is>
          <t>Chef's Breakfast (Breakfast)</t>
        </is>
      </c>
      <c r="H118" s="8" t="n">
        <v>1</v>
      </c>
      <c r="I118" s="11" t="n"/>
      <c r="J118" s="11" t="n"/>
      <c r="K118" s="11" t="n"/>
      <c r="L118" s="8">
        <f>IF(OR(J118="",J118=0),"",MAX(J118-N(K118),0))</f>
        <v/>
      </c>
      <c r="M118" s="11" t="n"/>
      <c r="N118" s="12" t="n"/>
      <c r="O118" s="13">
        <f>IF(OR(L118="",N118=""),"",L118*N118)</f>
        <v/>
      </c>
      <c r="P118" s="11" t="n"/>
    </row>
    <row r="119">
      <c r="A119" s="8" t="n">
        <v>106</v>
      </c>
      <c r="B119" s="8" t="inlineStr">
        <is>
          <t>Beverages &amp; Bar</t>
        </is>
      </c>
      <c r="C119" s="9" t="inlineStr">
        <is>
          <t>Liqueurs for affogato</t>
        </is>
      </c>
      <c r="D119" s="10" t="inlineStr">
        <is>
          <t>Frangelico, Baileys, Kahlúa etc. — confirm list</t>
        </is>
      </c>
      <c r="E119" s="8" t="inlineStr">
        <is>
          <t>bottle</t>
        </is>
      </c>
      <c r="F119" s="10" t="inlineStr">
        <is>
          <t>Lunch, Midweek, Supper Club, Canapés</t>
        </is>
      </c>
      <c r="G119" s="10" t="inlineStr">
        <is>
          <t>Affogato (Lunch); Affogato (Midweek); Affogato (Supper Club); Affogato Shot (Canapés)</t>
        </is>
      </c>
      <c r="H119" s="8" t="n">
        <v>4</v>
      </c>
      <c r="I119" s="11" t="n"/>
      <c r="J119" s="11" t="n"/>
      <c r="K119" s="11" t="n"/>
      <c r="L119" s="8">
        <f>IF(OR(J119="",J119=0),"",MAX(J119-N(K119),0))</f>
        <v/>
      </c>
      <c r="M119" s="11" t="n"/>
      <c r="N119" s="12" t="n"/>
      <c r="O119" s="13">
        <f>IF(OR(L119="",N119=""),"",L119*N119)</f>
        <v/>
      </c>
      <c r="P119" s="11" t="n"/>
    </row>
    <row r="120">
      <c r="A120" s="6" t="inlineStr">
        <is>
          <t>Packaging &amp; Serviceware</t>
        </is>
      </c>
      <c r="B120" s="7" t="n"/>
      <c r="C120" s="7" t="n"/>
      <c r="D120" s="7" t="n"/>
      <c r="E120" s="7" t="n"/>
      <c r="F120" s="7" t="n"/>
      <c r="G120" s="7" t="n"/>
      <c r="H120" s="7" t="n"/>
      <c r="I120" s="7" t="n"/>
      <c r="J120" s="7" t="n"/>
      <c r="K120" s="7" t="n"/>
      <c r="L120" s="7" t="n"/>
      <c r="M120" s="7" t="n"/>
      <c r="N120" s="7" t="n"/>
      <c r="O120" s="7" t="n"/>
      <c r="P120" s="7" t="n"/>
    </row>
    <row r="121">
      <c r="A121" s="8" t="n">
        <v>107</v>
      </c>
      <c r="B121" s="8" t="inlineStr">
        <is>
          <t>Packaging &amp; Serviceware</t>
        </is>
      </c>
      <c r="C121" s="9" t="inlineStr">
        <is>
          <t>Bamboo skewers</t>
        </is>
      </c>
      <c r="D121" s="10" t="inlineStr">
        <is>
          <t>Wagyu skewers, pork belly skewers, canapés</t>
        </is>
      </c>
      <c r="E121" s="8" t="inlineStr">
        <is>
          <t>pack</t>
        </is>
      </c>
      <c r="F121" s="10" t="inlineStr">
        <is>
          <t>Lunch, Dinner, Midweek, Supper Club, Canapés, Functions</t>
        </is>
      </c>
      <c r="G121" s="10" t="inlineStr">
        <is>
          <t>Seared Wagyu Skewers (Lunch); Seared Wagyu Skewers (Dinner); Seared Wagyu Skewers (Midweek); Pork Belly Skewers (Supper Club); Wagyu Skewers (Supper Club); Wagyu Skewer (Canapés); Seared Wagyu Skewers (Functions)</t>
        </is>
      </c>
      <c r="H121" s="8" t="n">
        <v>7</v>
      </c>
      <c r="I121" s="11" t="n"/>
      <c r="J121" s="11" t="n"/>
      <c r="K121" s="11" t="n"/>
      <c r="L121" s="8">
        <f>IF(OR(J121="",J121=0),"",MAX(J121-N(K121),0))</f>
        <v/>
      </c>
      <c r="M121" s="11" t="n"/>
      <c r="N121" s="12" t="n"/>
      <c r="O121" s="13">
        <f>IF(OR(L121="",N121=""),"",L121*N121)</f>
        <v/>
      </c>
      <c r="P121" s="11" t="n"/>
    </row>
    <row r="122">
      <c r="A122" s="8" t="n">
        <v>108</v>
      </c>
      <c r="B122" s="8" t="inlineStr">
        <is>
          <t>Packaging &amp; Serviceware</t>
        </is>
      </c>
      <c r="C122" s="9" t="inlineStr">
        <is>
          <t>Canapé tasting spoons</t>
        </is>
      </c>
      <c r="D122" s="10" t="inlineStr">
        <is>
          <t>Tuna crudo spoon</t>
        </is>
      </c>
      <c r="E122" s="8" t="inlineStr">
        <is>
          <t>pack</t>
        </is>
      </c>
      <c r="F122" s="10" t="inlineStr">
        <is>
          <t>Canapés</t>
        </is>
      </c>
      <c r="G122" s="10" t="inlineStr">
        <is>
          <t>Tuna Crudo Spoon (Canapés)</t>
        </is>
      </c>
      <c r="H122" s="8" t="n">
        <v>1</v>
      </c>
      <c r="I122" s="11" t="n"/>
      <c r="J122" s="11" t="n"/>
      <c r="K122" s="11" t="n"/>
      <c r="L122" s="8">
        <f>IF(OR(J122="",J122=0),"",MAX(J122-N(K122),0))</f>
        <v/>
      </c>
      <c r="M122" s="11" t="n"/>
      <c r="N122" s="12" t="n"/>
      <c r="O122" s="13">
        <f>IF(OR(L122="",N122=""),"",L122*N122)</f>
        <v/>
      </c>
      <c r="P122" s="11" t="n"/>
    </row>
    <row r="123">
      <c r="A123" s="8" t="n">
        <v>109</v>
      </c>
      <c r="B123" s="8" t="inlineStr">
        <is>
          <t>Packaging &amp; Serviceware</t>
        </is>
      </c>
      <c r="C123" s="9" t="inlineStr">
        <is>
          <t>Shot glasses / mini cups</t>
        </is>
      </c>
      <c r="D123" s="10" t="inlineStr">
        <is>
          <t>Affogato shot, bouillabaisse cup</t>
        </is>
      </c>
      <c r="E123" s="8" t="inlineStr">
        <is>
          <t>each</t>
        </is>
      </c>
      <c r="F123" s="10" t="inlineStr">
        <is>
          <t>Supper Club, Canapés</t>
        </is>
      </c>
      <c r="G123" s="10" t="inlineStr">
        <is>
          <t>Bouillabaisse Cup (Supper Club); Lobster Bouillabaisse Cup (Canapés); Affogato Shot (Canapés)</t>
        </is>
      </c>
      <c r="H123" s="8" t="n">
        <v>3</v>
      </c>
      <c r="I123" s="11" t="n"/>
      <c r="J123" s="11" t="n"/>
      <c r="K123" s="11" t="n"/>
      <c r="L123" s="8">
        <f>IF(OR(J123="",J123=0),"",MAX(J123-N(K123),0))</f>
        <v/>
      </c>
      <c r="M123" s="11" t="n"/>
      <c r="N123" s="12" t="n"/>
      <c r="O123" s="13">
        <f>IF(OR(L123="",N123=""),"",L123*N123)</f>
        <v/>
      </c>
      <c r="P123" s="11" t="n"/>
    </row>
    <row r="125">
      <c r="N125" s="3" t="inlineStr">
        <is>
          <t>Order total</t>
        </is>
      </c>
      <c r="O125" s="14">
        <f>SUM(O6:O123)</f>
        <v/>
      </c>
    </row>
  </sheetData>
  <autoFilter ref="A5:P123"/>
  <dataValidations count="2">
    <dataValidation sqref="M6:M123" showDropDown="0" showInputMessage="0" showErrorMessage="0" allowBlank="1" type="list">
      <formula1>"Buy,In-house,Buy base"</formula1>
    </dataValidation>
    <dataValidation sqref="P6:P123" showDropDown="0" showInputMessage="0" showErrorMessage="0" allowBlank="1" type="list">
      <formula1>"✓"</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39"/>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10" customWidth="1" min="3" max="3"/>
  </cols>
  <sheetData>
    <row r="1">
      <c r="A1" s="15" t="inlineStr">
        <is>
          <t>Menu</t>
        </is>
      </c>
      <c r="B1" s="15" t="inlineStr">
        <is>
          <t>Dish</t>
        </is>
      </c>
      <c r="C1" s="15" t="inlineStr">
        <is>
          <t>Ingredients to order</t>
        </is>
      </c>
    </row>
    <row r="2">
      <c r="A2" s="16" t="inlineStr">
        <is>
          <t>Breakfast</t>
        </is>
      </c>
      <c r="B2" s="17" t="inlineStr">
        <is>
          <t>Double Bacon &amp; Egg Roll</t>
        </is>
      </c>
      <c r="C2" s="16" t="inlineStr">
        <is>
          <t>Bread rolls (brioche/milk bun), Bacon, Eggs, free range, Cheese, sliced (tasty/cheddar), Tomatoes, truss, Rice vinegar, Caster sugar</t>
        </is>
      </c>
    </row>
    <row r="3">
      <c r="A3" s="16" t="inlineStr">
        <is>
          <t>Breakfast</t>
        </is>
      </c>
      <c r="B3" s="17" t="inlineStr">
        <is>
          <t>The Real Eggs Benedict</t>
        </is>
      </c>
      <c r="C3" s="16" t="inlineStr">
        <is>
          <t>English muffins (or bread for benedict), Eggs, free range, Butter, unsalted, Lemons, Bacon, Smoked salmon, Pork belly</t>
        </is>
      </c>
    </row>
    <row r="4">
      <c r="A4" s="16" t="inlineStr">
        <is>
          <t>Breakfast</t>
        </is>
      </c>
      <c r="B4" s="17" t="inlineStr">
        <is>
          <t>Haloumi &amp; Eggs</t>
        </is>
      </c>
      <c r="C4" s="16" t="inlineStr">
        <is>
          <t>Haloumi, Kataifi pastry, Sundried tomatoes, Dried chillies / chilli paste, Palm sugar, Fish sauce, Eggs, free range</t>
        </is>
      </c>
    </row>
    <row r="5">
      <c r="A5" s="16" t="inlineStr">
        <is>
          <t>Breakfast</t>
        </is>
      </c>
      <c r="B5" s="17" t="inlineStr">
        <is>
          <t>Crab Pancake &amp; Eggs</t>
        </is>
      </c>
      <c r="C5" s="16" t="inlineStr">
        <is>
          <t>Blue swimmer crab meat, Potatoes (rösti variety), Plain flour, Eggs, free range, Tobiko (flying fish roe)</t>
        </is>
      </c>
    </row>
    <row r="6">
      <c r="A6" s="16" t="inlineStr">
        <is>
          <t>Breakfast</t>
        </is>
      </c>
      <c r="B6" s="17" t="inlineStr">
        <is>
          <t>Koji Sunrise</t>
        </is>
      </c>
      <c r="C6" s="16" t="inlineStr">
        <is>
          <t>Potatoes (rösti variety), Duck fat, Eggs, free range, Smoked salmon, Apples (for koji), Shiro koji (rice koji)</t>
        </is>
      </c>
    </row>
    <row r="7">
      <c r="A7" s="16" t="inlineStr">
        <is>
          <t>Breakfast</t>
        </is>
      </c>
      <c r="B7" s="17" t="inlineStr">
        <is>
          <t>Banana Bread</t>
        </is>
      </c>
      <c r="C7" s="16" t="inlineStr">
        <is>
          <t>Bananas, Plain flour, Caster sugar, Eggs, free range, Baking powder / bicarb, Butter, unsalted, Seasonal berries</t>
        </is>
      </c>
    </row>
    <row r="8">
      <c r="A8" s="16" t="inlineStr">
        <is>
          <t>Breakfast</t>
        </is>
      </c>
      <c r="B8" s="17" t="inlineStr">
        <is>
          <t>Raisin Toast</t>
        </is>
      </c>
      <c r="C8" s="16" t="inlineStr">
        <is>
          <t>Raisin bread, Butter, unsalted, Seasonal berries</t>
        </is>
      </c>
    </row>
    <row r="9">
      <c r="A9" s="16" t="inlineStr">
        <is>
          <t>Breakfast</t>
        </is>
      </c>
      <c r="B9" s="17" t="inlineStr">
        <is>
          <t>House Bread Toast</t>
        </is>
      </c>
      <c r="C9" s="16" t="inlineStr">
        <is>
          <t>House bread, Garlic, Neutral oil (canola/rice bran), Butter, unsalted, Soft herbs (parsley/chives/dill)</t>
        </is>
      </c>
    </row>
    <row r="10">
      <c r="A10" s="16" t="inlineStr">
        <is>
          <t>Breakfast</t>
        </is>
      </c>
      <c r="B10" s="17" t="inlineStr">
        <is>
          <t>Ham &amp; Cheese Croissant</t>
        </is>
      </c>
      <c r="C10" s="16" t="inlineStr">
        <is>
          <t>Croissants, Ham, sliced, Cheese, sliced (tasty/cheddar)</t>
        </is>
      </c>
    </row>
    <row r="11">
      <c r="A11" s="16" t="inlineStr">
        <is>
          <t>Breakfast</t>
        </is>
      </c>
      <c r="B11" s="17" t="inlineStr">
        <is>
          <t>Grandma's Granola</t>
        </is>
      </c>
      <c r="C11" s="16" t="inlineStr">
        <is>
          <t>Rolled oats, Nuts &amp; seeds mix, Honey, Seasonal fruit (for granola/waffles), Yoghurt, natural/Greek, Vanilla (bean/paste)</t>
        </is>
      </c>
    </row>
    <row r="12">
      <c r="A12" s="16" t="inlineStr">
        <is>
          <t>Breakfast</t>
        </is>
      </c>
      <c r="B12" s="17" t="inlineStr">
        <is>
          <t>Double Waffles</t>
        </is>
      </c>
      <c r="C12" s="16" t="inlineStr">
        <is>
          <t>Plain flour, Eggs, free range, Milk, full cream, Baking powder / bicarb, Vanilla ice cream, Bacon, Seasonal fruit (for granola/waffles), Seasonal berries, Maple syrup</t>
        </is>
      </c>
    </row>
    <row r="13">
      <c r="A13" s="16" t="inlineStr">
        <is>
          <t>Breakfast</t>
        </is>
      </c>
      <c r="B13" s="17" t="inlineStr">
        <is>
          <t>Kids — Bacon &amp; Egg Roll</t>
        </is>
      </c>
      <c r="C13" s="16" t="inlineStr">
        <is>
          <t>Bread rolls (brioche/milk bun), Bacon, Eggs, free range</t>
        </is>
      </c>
    </row>
    <row r="14">
      <c r="A14" s="16" t="inlineStr">
        <is>
          <t>Breakfast</t>
        </is>
      </c>
      <c r="B14" s="17" t="inlineStr">
        <is>
          <t>Kids — Fried Egg with Sausage</t>
        </is>
      </c>
      <c r="C14" s="16" t="inlineStr">
        <is>
          <t>Eggs, free range, Pork sausages</t>
        </is>
      </c>
    </row>
    <row r="15">
      <c r="A15" s="16" t="inlineStr">
        <is>
          <t>Breakfast</t>
        </is>
      </c>
      <c r="B15" s="17" t="inlineStr">
        <is>
          <t>Kids — Waffles with Ice Cream</t>
        </is>
      </c>
      <c r="C15" s="16" t="inlineStr">
        <is>
          <t>Plain flour, Eggs, free range, Milk, full cream, Vanilla ice cream</t>
        </is>
      </c>
    </row>
    <row r="16">
      <c r="A16" s="16" t="inlineStr">
        <is>
          <t>Breakfast</t>
        </is>
      </c>
      <c r="B16" s="17" t="inlineStr">
        <is>
          <t>Pork Belly Bánh Mì</t>
        </is>
      </c>
      <c r="C16" s="16" t="inlineStr">
        <is>
          <t>Bánh mì baguettes, Pork belly, Palm sugar, Green mango, Firm / silken tofu, White sesame seeds, Mint</t>
        </is>
      </c>
    </row>
    <row r="17">
      <c r="A17" s="16" t="inlineStr">
        <is>
          <t>Breakfast</t>
        </is>
      </c>
      <c r="B17" s="17" t="inlineStr">
        <is>
          <t>The Green Plate</t>
        </is>
      </c>
      <c r="C17" s="16" t="inlineStr">
        <is>
          <t>Firm / silken tofu, White sesame seeds, Summer squash / zucchini, Mixed greens / bitter greens, Tomatoes, truss, Rice vinegar, Caster sugar</t>
        </is>
      </c>
    </row>
    <row r="18">
      <c r="A18" s="16" t="inlineStr">
        <is>
          <t>Breakfast</t>
        </is>
      </c>
      <c r="B18" s="17" t="inlineStr">
        <is>
          <t>The Big Breakfast</t>
        </is>
      </c>
      <c r="C18" s="16" t="inlineStr">
        <is>
          <t>Eggs, free range, Bacon, Pork sausages, Potatoes (rösti variety), Duck fat, Tomatoes, truss, Mixed greens / bitter greens, House bread</t>
        </is>
      </c>
    </row>
    <row r="19">
      <c r="A19" s="16" t="inlineStr">
        <is>
          <t>Breakfast</t>
        </is>
      </c>
      <c r="B19" s="17" t="inlineStr">
        <is>
          <t>Wagyu &amp; Eggs</t>
        </is>
      </c>
      <c r="C19" s="16" t="inlineStr">
        <is>
          <t>Wagyu (steak cut), Eggs, free range, Shishito peppers, House bread</t>
        </is>
      </c>
    </row>
    <row r="20">
      <c r="A20" s="16" t="inlineStr">
        <is>
          <t>Breakfast</t>
        </is>
      </c>
      <c r="B20" s="17" t="inlineStr">
        <is>
          <t>C.F.D. Hash</t>
        </is>
      </c>
      <c r="C20" s="16" t="inlineStr">
        <is>
          <t>Duck legs, Panko breadcrumbs, Plain flour, Eggs, free range, Neutral oil (canola/rice bran), Tonkatsu sauce (or base ingredients), Fish sauce, Limes, Palm sugar, Duck fat, Sweet corn (cobs)</t>
        </is>
      </c>
    </row>
    <row r="21">
      <c r="A21" s="16" t="inlineStr">
        <is>
          <t>Breakfast</t>
        </is>
      </c>
      <c r="B21" s="17" t="inlineStr">
        <is>
          <t>Chef's Breakfast</t>
        </is>
      </c>
      <c r="C21" s="16" t="inlineStr">
        <is>
          <t>Eggs, free range, Bacon, Pork sausages, Smoked salmon, Pork belly, Potatoes (rösti variety), Duck fat, Haloumi, Tomatoes, truss, Mixed greens / bitter greens, Coffee beans, Tea (assorted)</t>
        </is>
      </c>
    </row>
    <row r="22">
      <c r="A22" s="16" t="inlineStr">
        <is>
          <t>Breakfast</t>
        </is>
      </c>
      <c r="B22" s="17" t="inlineStr">
        <is>
          <t>Breakfast Sides</t>
        </is>
      </c>
      <c r="C22" s="16" t="inlineStr">
        <is>
          <t>Bacon, Haloumi, Potatoes (rösti variety), Duck fat, Tomatoes, truss, Mixed greens / bitter greens, Pork sausages, Smoked salmon, Pork belly, Eggs, free range, Butter, unsalted, Lemons</t>
        </is>
      </c>
    </row>
    <row r="23">
      <c r="A23" s="16" t="inlineStr">
        <is>
          <t>Lunch</t>
        </is>
      </c>
      <c r="B23" s="17" t="inlineStr">
        <is>
          <t>Pacific Oysters (Natural / Sesame &amp; Wasabi)</t>
        </is>
      </c>
      <c r="C23" s="16" t="inlineStr">
        <is>
          <t>Pacific oysters, Lemons, Tahini / sesame paste, Cream, thickened, Wasabi caviar / wasabi tobiko</t>
        </is>
      </c>
    </row>
    <row r="24">
      <c r="A24" s="16" t="inlineStr">
        <is>
          <t>Lunch</t>
        </is>
      </c>
      <c r="B24" s="17" t="inlineStr">
        <is>
          <t>House Bread</t>
        </is>
      </c>
      <c r="C24" s="16" t="inlineStr">
        <is>
          <t>House bread, Garlic, Neutral oil (canola/rice bran), Butter, unsalted, Soft herbs (parsley/chives/dill)</t>
        </is>
      </c>
    </row>
    <row r="25">
      <c r="A25" s="16" t="inlineStr">
        <is>
          <t>Lunch</t>
        </is>
      </c>
      <c r="B25" s="17" t="inlineStr">
        <is>
          <t>Kataifi-Wrapped Haloumi</t>
        </is>
      </c>
      <c r="C25" s="16" t="inlineStr">
        <is>
          <t>Haloumi, Kataifi pastry, Sundried tomatoes, Dried chillies / chilli paste, Palm sugar, Fish sauce, Yuzu juice, Shiso leaves</t>
        </is>
      </c>
    </row>
    <row r="26">
      <c r="A26" s="16" t="inlineStr">
        <is>
          <t>Lunch</t>
        </is>
      </c>
      <c r="B26" s="17" t="inlineStr">
        <is>
          <t>Tuna Crudo</t>
        </is>
      </c>
      <c r="C26" s="16" t="inlineStr">
        <is>
          <t>Tuna, sashimi grade, Fennel bulbs, Yuzu juice, Soy sauce, Mirin, Fish sauce, Limes, Palm sugar, Chillies, fresh, Rice vinegar, Kalamata / black olives, Nori sheets, White sesame seeds, Black sesame seeds, Bonito flakes (katsuobushi)</t>
        </is>
      </c>
    </row>
    <row r="27">
      <c r="A27" s="16" t="inlineStr">
        <is>
          <t>Lunch</t>
        </is>
      </c>
      <c r="B27" s="17" t="inlineStr">
        <is>
          <t>Seared Wagyu Skewers</t>
        </is>
      </c>
      <c r="C27" s="16" t="inlineStr">
        <is>
          <t>Wagyu (steak cut), Bamboo skewers, Spring onions / scallions, Neutral oil (canola/rice bran), Shishito peppers, Tuna, canned (for tonnato), Anchovy fillets (salted/oil), Capers, Eggs, free range, White sesame seeds</t>
        </is>
      </c>
    </row>
    <row r="28">
      <c r="A28" s="16" t="inlineStr">
        <is>
          <t>Lunch</t>
        </is>
      </c>
      <c r="B28" s="17" t="inlineStr">
        <is>
          <t>Potato Pancake</t>
        </is>
      </c>
      <c r="C28" s="16" t="inlineStr">
        <is>
          <t>Potatoes (rösti variety), Plain flour, Eggs, free range, Blue swimmer crab meat, Tobiko (flying fish roe), Prawns, green (raw), Garlic, Saffron, Chillies, fresh, Neutral oil (canola/rice bran)</t>
        </is>
      </c>
    </row>
    <row r="29">
      <c r="A29" s="16" t="inlineStr">
        <is>
          <t>Lunch</t>
        </is>
      </c>
      <c r="B29" s="17" t="inlineStr">
        <is>
          <t>Whipped Sesame Tofu</t>
        </is>
      </c>
      <c r="C29" s="16" t="inlineStr">
        <is>
          <t>Firm / silken tofu, Tahini / sesame paste, Tomatoes, truss, Rice vinegar, Caster sugar, Sweet corn (cobs), Freeze-dried corn (optional)</t>
        </is>
      </c>
    </row>
    <row r="30">
      <c r="A30" s="16" t="inlineStr">
        <is>
          <t>Lunch</t>
        </is>
      </c>
      <c r="B30" s="17" t="inlineStr">
        <is>
          <t>Scotch Fillet</t>
        </is>
      </c>
      <c r="C30" s="16" t="inlineStr">
        <is>
          <t>Scotch fillet, Potatoes (rösti variety), Duck fat, Mixed greens / bitter greens, Beef / veal bones or stock, Garlic</t>
        </is>
      </c>
    </row>
    <row r="31">
      <c r="A31" s="16" t="inlineStr">
        <is>
          <t>Lunch</t>
        </is>
      </c>
      <c r="B31" s="17" t="inlineStr">
        <is>
          <t>Pork Belly Bánh Mì</t>
        </is>
      </c>
      <c r="C31" s="16" t="inlineStr">
        <is>
          <t>Bánh mì baguettes, Pork belly, Palm sugar, Green mango, Firm / silken tofu, White sesame seeds, Mint</t>
        </is>
      </c>
    </row>
    <row r="32">
      <c r="A32" s="16" t="inlineStr">
        <is>
          <t>Lunch</t>
        </is>
      </c>
      <c r="B32" s="17" t="inlineStr">
        <is>
          <t>C.F.D. Katsu Sando</t>
        </is>
      </c>
      <c r="C32" s="16" t="inlineStr">
        <is>
          <t>Duck legs, Panko breadcrumbs, Plain flour, Eggs, free range, Neutral oil (canola/rice bran), Tonkatsu sauce (or base ingredients), Fish sauce, Limes, Palm sugar, House bread</t>
        </is>
      </c>
    </row>
    <row r="33">
      <c r="A33" s="16" t="inlineStr">
        <is>
          <t>Lunch</t>
        </is>
      </c>
      <c r="B33" s="17" t="inlineStr">
        <is>
          <t>Confit Summer Squash</t>
        </is>
      </c>
      <c r="C33" s="16" t="inlineStr">
        <is>
          <t>Butternut squash, Lemongrass, Sweet corn (cobs), Yuzu juice, Soy sauce, Mirin, Fish sauce, Limes, Palm sugar, Chillies, fresh, Rice vinegar</t>
        </is>
      </c>
    </row>
    <row r="34">
      <c r="A34" s="16" t="inlineStr">
        <is>
          <t>Lunch</t>
        </is>
      </c>
      <c r="B34" s="17" t="inlineStr">
        <is>
          <t>Roast Barramundi</t>
        </is>
      </c>
      <c r="C34" s="16" t="inlineStr">
        <is>
          <t>Barramundi fillet, Summer squash / zucchini, Tuna, canned (for tonnato), Anchovy fillets (salted/oil), Capers, Eggs, free range, Neutral oil (canola/rice bran), Samphire / sea beans, Fennel bulbs</t>
        </is>
      </c>
    </row>
    <row r="35">
      <c r="A35" s="16" t="inlineStr">
        <is>
          <t>Lunch</t>
        </is>
      </c>
      <c r="B35" s="17" t="inlineStr">
        <is>
          <t>BBQ Lamb Shoulder</t>
        </is>
      </c>
      <c r="C35" s="16" t="inlineStr">
        <is>
          <t>Lamb shoulder, Anchovy fillets (salted/oil), Dried chillies / chilli paste, Palm sugar, Mint, Kalamata / black olives</t>
        </is>
      </c>
    </row>
    <row r="36">
      <c r="A36" s="16" t="inlineStr">
        <is>
          <t>Lunch</t>
        </is>
      </c>
      <c r="B36" s="17" t="inlineStr">
        <is>
          <t>Sides (Rösti, Greens, Duck Fat Corn, Butternut)</t>
        </is>
      </c>
      <c r="C36" s="16" t="inlineStr">
        <is>
          <t>Potatoes (rösti variety), Duck fat, Mixed greens / bitter greens, Butter, unsalted, Soft herbs (parsley/chives/dill), Sweet corn (cobs), Butternut squash</t>
        </is>
      </c>
    </row>
    <row r="37">
      <c r="A37" s="16" t="inlineStr">
        <is>
          <t>Lunch</t>
        </is>
      </c>
      <c r="B37" s="17" t="inlineStr">
        <is>
          <t>Seafood Lunch Platter</t>
        </is>
      </c>
      <c r="C37" s="16" t="inlineStr">
        <is>
          <t>Pacific oysters, Tuna, sashimi grade, Yuzu juice, Soy sauce, Mirin, Fish sauce, Limes, Palm sugar, Chillies, fresh, Rice vinegar, White anchovies (boquerones), Red capsicum, Prawns, green (raw), Garlic, Saffron, Eggs, free range, Neutral oil (canola/rice bran), Blue swimmer crab meat, Tobiko (flying fish roe), Fennel bulbs, House bread</t>
        </is>
      </c>
    </row>
    <row r="38">
      <c r="A38" s="16" t="inlineStr">
        <is>
          <t>Lunch</t>
        </is>
      </c>
      <c r="B38" s="17" t="inlineStr">
        <is>
          <t>Chef's Cheesecake</t>
        </is>
      </c>
      <c r="C38" s="16" t="inlineStr">
        <is>
          <t>Cream cheese, Cream, thickened, Eggs, free range, Caster sugar, Biscuits (cheesecake base), Butter, unsalted, Vanilla (bean/paste)</t>
        </is>
      </c>
    </row>
    <row r="39">
      <c r="A39" s="16" t="inlineStr">
        <is>
          <t>Lunch</t>
        </is>
      </c>
      <c r="B39" s="17" t="inlineStr">
        <is>
          <t>Chocolate Ganache</t>
        </is>
      </c>
      <c r="C39" s="16" t="inlineStr">
        <is>
          <t>Dark chocolate (couverture), Cream, thickened, Sorbet fruit / purée, Caster sugar, Glucose syrup</t>
        </is>
      </c>
    </row>
    <row r="40">
      <c r="A40" s="16" t="inlineStr">
        <is>
          <t>Lunch</t>
        </is>
      </c>
      <c r="B40" s="17" t="inlineStr">
        <is>
          <t>Sorbet Trio</t>
        </is>
      </c>
      <c r="C40" s="16" t="inlineStr">
        <is>
          <t>Sorbet fruit / purée, Caster sugar, Glucose syrup</t>
        </is>
      </c>
    </row>
    <row r="41">
      <c r="A41" s="16" t="inlineStr">
        <is>
          <t>Lunch</t>
        </is>
      </c>
      <c r="B41" s="17" t="inlineStr">
        <is>
          <t>Affogato</t>
        </is>
      </c>
      <c r="C41" s="16" t="inlineStr">
        <is>
          <t>Vanilla ice cream, Coffee beans, Liqueurs for affogato</t>
        </is>
      </c>
    </row>
    <row r="42">
      <c r="A42" s="16" t="inlineStr">
        <is>
          <t>Dinner</t>
        </is>
      </c>
      <c r="B42" s="17" t="inlineStr">
        <is>
          <t>Pacific Oysters</t>
        </is>
      </c>
      <c r="C42" s="16" t="inlineStr">
        <is>
          <t>Pacific oysters, Lemons, Tahini / sesame paste, Cream, thickened, Wasabi caviar / wasabi tobiko</t>
        </is>
      </c>
    </row>
    <row r="43">
      <c r="A43" s="16" t="inlineStr">
        <is>
          <t>Dinner</t>
        </is>
      </c>
      <c r="B43" s="17" t="inlineStr">
        <is>
          <t>White Anchovies</t>
        </is>
      </c>
      <c r="C43" s="16" t="inlineStr">
        <is>
          <t>White anchovies (boquerones), Red capsicum, Anchovy fillets (salted/oil), Panko breadcrumbs, Extra virgin olive oil</t>
        </is>
      </c>
    </row>
    <row r="44">
      <c r="A44" s="16" t="inlineStr">
        <is>
          <t>Dinner</t>
        </is>
      </c>
      <c r="B44" s="17" t="inlineStr">
        <is>
          <t>Glazed Pork Belly</t>
        </is>
      </c>
      <c r="C44" s="16" t="inlineStr">
        <is>
          <t>Pork belly, Palm sugar, Firm / silken tofu, Tahini / sesame paste, Green mango</t>
        </is>
      </c>
    </row>
    <row r="45">
      <c r="A45" s="16" t="inlineStr">
        <is>
          <t>Dinner</t>
        </is>
      </c>
      <c r="B45" s="17" t="inlineStr">
        <is>
          <t>Whipped Sesame Tofu</t>
        </is>
      </c>
      <c r="C45" s="16" t="inlineStr">
        <is>
          <t>Firm / silken tofu, Tahini / sesame paste, Tomatoes, truss, Rice vinegar, Caster sugar, Sweet corn (cobs), Freeze-dried corn (optional), Shishito peppers</t>
        </is>
      </c>
    </row>
    <row r="46">
      <c r="A46" s="16" t="inlineStr">
        <is>
          <t>Dinner</t>
        </is>
      </c>
      <c r="B46" s="17" t="inlineStr">
        <is>
          <t>BBQ Lamb Shoulder</t>
        </is>
      </c>
      <c r="C46" s="16" t="inlineStr">
        <is>
          <t>Lamb shoulder, Green mango, Anchovy fillets (salted/oil), Dried chillies / chilli paste, Palm sugar, Yuzu juice, Kalamata / black olives</t>
        </is>
      </c>
    </row>
    <row r="47">
      <c r="A47" s="16" t="inlineStr">
        <is>
          <t>Dinner</t>
        </is>
      </c>
      <c r="B47" s="17" t="inlineStr">
        <is>
          <t>Pork Belly (main)</t>
        </is>
      </c>
      <c r="C47" s="16" t="inlineStr">
        <is>
          <t>Pork belly, Apples (for koji), Shiro koji (rice koji), Yuzu juice, Soy sauce, Mirin, Fish sauce, Limes, Palm sugar, Chillies, fresh, Rice vinegar, Samphire / sea beans, Shiso leaves, Mint</t>
        </is>
      </c>
    </row>
    <row r="48">
      <c r="A48" s="16" t="inlineStr">
        <is>
          <t>Dinner</t>
        </is>
      </c>
      <c r="B48" s="17" t="inlineStr">
        <is>
          <t>Roast Barramundi</t>
        </is>
      </c>
      <c r="C48" s="16" t="inlineStr">
        <is>
          <t>Barramundi fillet, Summer squash / zucchini, Tuna, canned (for tonnato), Anchovy fillets (salted/oil), Capers, Eggs, free range, Neutral oil (canola/rice bran), Samphire / sea beans, Fennel bulbs, Prawns, green (raw), Garlic, Saffron, Chillies, fresh</t>
        </is>
      </c>
    </row>
    <row r="49">
      <c r="A49" s="16" t="inlineStr">
        <is>
          <t>Dinner</t>
        </is>
      </c>
      <c r="B49" s="17" t="inlineStr">
        <is>
          <t>C.F.D. Cecilia's Fried Duck</t>
        </is>
      </c>
      <c r="C49" s="16" t="inlineStr">
        <is>
          <t>Duck legs, Panko breadcrumbs, Plain flour, Eggs, free range, Neutral oil (canola/rice bran), Tonkatsu sauce (or base ingredients), Fish sauce, Limes, Palm sugar, Duck fat, Sweet corn (cobs), Mixed greens / bitter greens</t>
        </is>
      </c>
    </row>
    <row r="50">
      <c r="A50" s="16" t="inlineStr">
        <is>
          <t>Dinner</t>
        </is>
      </c>
      <c r="B50" s="17" t="inlineStr">
        <is>
          <t>Confit Summer Squash</t>
        </is>
      </c>
      <c r="C50" s="16" t="inlineStr">
        <is>
          <t>Butternut squash, Lemongrass, Sweet corn (cobs), Yuzu juice, Soy sauce, Mirin, Fish sauce, Limes, Palm sugar, Chillies, fresh, Rice vinegar, Kalamata / black olives, Nori sheets, White sesame seeds, Black sesame seeds, Bonito flakes (katsuobushi)</t>
        </is>
      </c>
    </row>
    <row r="51">
      <c r="A51" s="16" t="inlineStr">
        <is>
          <t>Dinner</t>
        </is>
      </c>
      <c r="B51" s="17" t="inlineStr">
        <is>
          <t>Scotch Fillet (Signature)</t>
        </is>
      </c>
      <c r="C51" s="16" t="inlineStr">
        <is>
          <t>Scotch fillet, Potatoes (rösti variety), Duck fat, Mixed greens / bitter greens, Beef / veal bones or stock, Garlic</t>
        </is>
      </c>
    </row>
    <row r="52">
      <c r="A52" s="16" t="inlineStr">
        <is>
          <t>Dinner</t>
        </is>
      </c>
      <c r="B52" s="17" t="inlineStr">
        <is>
          <t>Lobster Bouillabaisse</t>
        </is>
      </c>
      <c r="C52" s="16" t="inlineStr">
        <is>
          <t>Rock lobster (whole), Pacific oysters, Local white fish, Prawns, green (raw), Garlic, Saffron, Chillies, fresh, Eggs, free range, Neutral oil (canola/rice bran), Kombu, Bonito flakes (katsuobushi)</t>
        </is>
      </c>
    </row>
    <row r="53">
      <c r="A53" s="16" t="inlineStr">
        <is>
          <t>Dinner</t>
        </is>
      </c>
      <c r="B53" s="17" t="inlineStr">
        <is>
          <t>Seafood Platter for Two</t>
        </is>
      </c>
      <c r="C53" s="16" t="inlineStr">
        <is>
          <t>Rock lobster (whole), Garlic, Soft herbs (parsley/chives/dill), Butter, unsalted, Pacific oysters, Tahini / sesame paste, Cream, thickened, Tuna, sashimi grade, Prawns, green (raw), Saffron, Chillies, fresh, Eggs, free range, Neutral oil (canola/rice bran), Blue swimmer crab meat, Potatoes (rösti variety), White anchovies (boquerones), Barramundi fillet, Samphire / sea beans, House bread</t>
        </is>
      </c>
    </row>
    <row r="54">
      <c r="A54" s="16" t="inlineStr">
        <is>
          <t>Dinner</t>
        </is>
      </c>
      <c r="B54" s="17" t="inlineStr">
        <is>
          <t>House Bread</t>
        </is>
      </c>
      <c r="C54" s="16" t="inlineStr">
        <is>
          <t>House bread, Garlic, Neutral oil (canola/rice bran), Butter, unsalted, Soft herbs (parsley/chives/dill)</t>
        </is>
      </c>
    </row>
    <row r="55">
      <c r="A55" s="16" t="inlineStr">
        <is>
          <t>Dinner</t>
        </is>
      </c>
      <c r="B55" s="17" t="inlineStr">
        <is>
          <t>Kataifi-Wrapped Haloumi</t>
        </is>
      </c>
      <c r="C55" s="16" t="inlineStr">
        <is>
          <t>Haloumi, Kataifi pastry, Sundried tomatoes, Dried chillies / chilli paste, Palm sugar, Fish sauce, Yuzu juice, Shiso leaves</t>
        </is>
      </c>
    </row>
    <row r="56">
      <c r="A56" s="16" t="inlineStr">
        <is>
          <t>Dinner</t>
        </is>
      </c>
      <c r="B56" s="17" t="inlineStr">
        <is>
          <t>Tuna Crudo</t>
        </is>
      </c>
      <c r="C56" s="16" t="inlineStr">
        <is>
          <t>Tuna, sashimi grade, Fennel bulbs, Yuzu juice, Soy sauce, Mirin, Fish sauce, Limes, Palm sugar, Chillies, fresh, Rice vinegar, Kalamata / black olives, Nori sheets, White sesame seeds, Black sesame seeds, Bonito flakes (katsuobushi)</t>
        </is>
      </c>
    </row>
    <row r="57">
      <c r="A57" s="16" t="inlineStr">
        <is>
          <t>Dinner</t>
        </is>
      </c>
      <c r="B57" s="17" t="inlineStr">
        <is>
          <t>Seared Wagyu Skewers</t>
        </is>
      </c>
      <c r="C57" s="16" t="inlineStr">
        <is>
          <t>Wagyu (steak cut), Bamboo skewers, Spring onions / scallions, Neutral oil (canola/rice bran), Shishito peppers, Tuna, canned (for tonnato), Anchovy fillets (salted/oil), Capers, Eggs, free range, White sesame seeds</t>
        </is>
      </c>
    </row>
    <row r="58">
      <c r="A58" s="16" t="inlineStr">
        <is>
          <t>Dinner</t>
        </is>
      </c>
      <c r="B58" s="17" t="inlineStr">
        <is>
          <t>Potato Pancake</t>
        </is>
      </c>
      <c r="C58" s="16" t="inlineStr">
        <is>
          <t>Potatoes (rösti variety), Plain flour, Eggs, free range, Blue swimmer crab meat, Tobiko (flying fish roe), Prawns, green (raw), Garlic, Saffron, Chillies, fresh, Neutral oil (canola/rice bran)</t>
        </is>
      </c>
    </row>
    <row r="59">
      <c r="A59" s="16" t="inlineStr">
        <is>
          <t>Midweek</t>
        </is>
      </c>
      <c r="B59" s="17" t="inlineStr">
        <is>
          <t>Add-on: Two Pacific Oysters</t>
        </is>
      </c>
      <c r="C59" s="16" t="inlineStr">
        <is>
          <t>Pacific oysters</t>
        </is>
      </c>
    </row>
    <row r="60">
      <c r="A60" s="16" t="inlineStr">
        <is>
          <t>Midweek</t>
        </is>
      </c>
      <c r="B60" s="17" t="inlineStr">
        <is>
          <t>Add-on: Two Slices House Bread</t>
        </is>
      </c>
      <c r="C60" s="16" t="inlineStr">
        <is>
          <t>House bread, Garlic, Neutral oil (canola/rice bran), Butter, unsalted, Soft herbs (parsley/chives/dill)</t>
        </is>
      </c>
    </row>
    <row r="61">
      <c r="A61" s="16" t="inlineStr">
        <is>
          <t>Midweek</t>
        </is>
      </c>
      <c r="B61" s="17" t="inlineStr">
        <is>
          <t>Add-on: Scotch Fillet Upgrade</t>
        </is>
      </c>
      <c r="C61" s="16" t="inlineStr">
        <is>
          <t>Scotch fillet, Potatoes (rösti variety), Duck fat, Mixed greens / bitter greens, Beef / veal bones or stock, Garlic</t>
        </is>
      </c>
    </row>
    <row r="62">
      <c r="A62" s="16" t="inlineStr">
        <is>
          <t>Midweek</t>
        </is>
      </c>
      <c r="B62" s="17" t="inlineStr">
        <is>
          <t>Kataifi-Wrapped Haloumi</t>
        </is>
      </c>
      <c r="C62" s="16" t="inlineStr">
        <is>
          <t>Haloumi, Kataifi pastry, Sundried tomatoes, Dried chillies / chilli paste, Palm sugar, Fish sauce, Yuzu juice, Shiso leaves</t>
        </is>
      </c>
    </row>
    <row r="63">
      <c r="A63" s="16" t="inlineStr">
        <is>
          <t>Midweek</t>
        </is>
      </c>
      <c r="B63" s="17" t="inlineStr">
        <is>
          <t>Tuna Crudo</t>
        </is>
      </c>
      <c r="C63" s="16" t="inlineStr">
        <is>
          <t>Tuna, sashimi grade, Fennel bulbs, Yuzu juice, Soy sauce, Mirin, Fish sauce, Limes, Palm sugar, Chillies, fresh, Rice vinegar, Kalamata / black olives, Nori sheets, White sesame seeds, Black sesame seeds, Bonito flakes (katsuobushi)</t>
        </is>
      </c>
    </row>
    <row r="64">
      <c r="A64" s="16" t="inlineStr">
        <is>
          <t>Midweek</t>
        </is>
      </c>
      <c r="B64" s="17" t="inlineStr">
        <is>
          <t>Glazed Pork Belly</t>
        </is>
      </c>
      <c r="C64" s="16" t="inlineStr">
        <is>
          <t>Pork belly, Palm sugar, Firm / silken tofu, Tahini / sesame paste, Green mango</t>
        </is>
      </c>
    </row>
    <row r="65">
      <c r="A65" s="16" t="inlineStr">
        <is>
          <t>Midweek</t>
        </is>
      </c>
      <c r="B65" s="17" t="inlineStr">
        <is>
          <t>Seared Wagyu Skewers</t>
        </is>
      </c>
      <c r="C65" s="16" t="inlineStr">
        <is>
          <t>Wagyu (steak cut), Bamboo skewers, Spring onions / scallions, Neutral oil (canola/rice bran), Shishito peppers, Tuna, canned (for tonnato), Anchovy fillets (salted/oil), Capers, Eggs, free range, White sesame seeds</t>
        </is>
      </c>
    </row>
    <row r="66">
      <c r="A66" s="16" t="inlineStr">
        <is>
          <t>Midweek</t>
        </is>
      </c>
      <c r="B66" s="17" t="inlineStr">
        <is>
          <t>Whipped Sesame Tofu</t>
        </is>
      </c>
      <c r="C66" s="16" t="inlineStr">
        <is>
          <t>Firm / silken tofu, Tahini / sesame paste, Tomatoes, truss, Rice vinegar, Caster sugar, Sweet corn (cobs), Freeze-dried corn (optional), Shishito peppers</t>
        </is>
      </c>
    </row>
    <row r="67">
      <c r="A67" s="16" t="inlineStr">
        <is>
          <t>Midweek</t>
        </is>
      </c>
      <c r="B67" s="17" t="inlineStr">
        <is>
          <t>BBQ Lamb Shoulder</t>
        </is>
      </c>
      <c r="C67" s="16" t="inlineStr">
        <is>
          <t>Lamb shoulder, Green mango, Anchovy fillets (salted/oil), Dried chillies / chilli paste, Palm sugar, Yuzu juice, Kalamata / black olives</t>
        </is>
      </c>
    </row>
    <row r="68">
      <c r="A68" s="16" t="inlineStr">
        <is>
          <t>Midweek</t>
        </is>
      </c>
      <c r="B68" s="17" t="inlineStr">
        <is>
          <t>Pork Belly (main)</t>
        </is>
      </c>
      <c r="C68" s="16" t="inlineStr">
        <is>
          <t>Pork belly, Apples (for koji), Shiro koji (rice koji), Yuzu juice, Soy sauce, Mirin, Fish sauce, Limes, Palm sugar, Chillies, fresh, Rice vinegar, Samphire / sea beans, Shiso leaves, Mint</t>
        </is>
      </c>
    </row>
    <row r="69">
      <c r="A69" s="16" t="inlineStr">
        <is>
          <t>Midweek</t>
        </is>
      </c>
      <c r="B69" s="17" t="inlineStr">
        <is>
          <t>Roast Barramundi</t>
        </is>
      </c>
      <c r="C69" s="16" t="inlineStr">
        <is>
          <t>Barramundi fillet, Summer squash / zucchini, Tuna, canned (for tonnato), Anchovy fillets (salted/oil), Capers, Eggs, free range, Neutral oil (canola/rice bran), Samphire / sea beans, Fennel bulbs, Prawns, green (raw), Garlic, Saffron, Chillies, fresh</t>
        </is>
      </c>
    </row>
    <row r="70">
      <c r="A70" s="16" t="inlineStr">
        <is>
          <t>Midweek</t>
        </is>
      </c>
      <c r="B70" s="17" t="inlineStr">
        <is>
          <t>C.F.D. Cecilia's Fried Duck</t>
        </is>
      </c>
      <c r="C70" s="16" t="inlineStr">
        <is>
          <t>Duck legs, Panko breadcrumbs, Plain flour, Eggs, free range, Neutral oil (canola/rice bran), Tonkatsu sauce (or base ingredients), Fish sauce, Limes, Palm sugar, Duck fat, Sweet corn (cobs), Mixed greens / bitter greens</t>
        </is>
      </c>
    </row>
    <row r="71">
      <c r="A71" s="16" t="inlineStr">
        <is>
          <t>Midweek</t>
        </is>
      </c>
      <c r="B71" s="17" t="inlineStr">
        <is>
          <t>Confit Summer Squash</t>
        </is>
      </c>
      <c r="C71" s="16" t="inlineStr">
        <is>
          <t>Butternut squash, Lemongrass, Sweet corn (cobs), Yuzu juice, Soy sauce, Mirin, Fish sauce, Limes, Palm sugar, Chillies, fresh, Rice vinegar, Kalamata / black olives, Nori sheets, White sesame seeds, Black sesame seeds, Bonito flakes (katsuobushi)</t>
        </is>
      </c>
    </row>
    <row r="72">
      <c r="A72" s="16" t="inlineStr">
        <is>
          <t>Midweek</t>
        </is>
      </c>
      <c r="B72" s="17" t="inlineStr">
        <is>
          <t>Chef's Cheesecake</t>
        </is>
      </c>
      <c r="C72" s="16" t="inlineStr">
        <is>
          <t>Cream cheese, Cream, thickened, Eggs, free range, Caster sugar, Biscuits (cheesecake base), Butter, unsalted, Vanilla (bean/paste)</t>
        </is>
      </c>
    </row>
    <row r="73">
      <c r="A73" s="16" t="inlineStr">
        <is>
          <t>Midweek</t>
        </is>
      </c>
      <c r="B73" s="17" t="inlineStr">
        <is>
          <t>Chocolate Ganache</t>
        </is>
      </c>
      <c r="C73" s="16" t="inlineStr">
        <is>
          <t>Dark chocolate (couverture), Cream, thickened, Sorbet fruit / purée, Caster sugar, Glucose syrup</t>
        </is>
      </c>
    </row>
    <row r="74">
      <c r="A74" s="16" t="inlineStr">
        <is>
          <t>Midweek</t>
        </is>
      </c>
      <c r="B74" s="17" t="inlineStr">
        <is>
          <t>Sorbet Trio</t>
        </is>
      </c>
      <c r="C74" s="16" t="inlineStr">
        <is>
          <t>Sorbet fruit / purée, Caster sugar, Glucose syrup</t>
        </is>
      </c>
    </row>
    <row r="75">
      <c r="A75" s="16" t="inlineStr">
        <is>
          <t>Midweek</t>
        </is>
      </c>
      <c r="B75" s="17" t="inlineStr">
        <is>
          <t>Affogato</t>
        </is>
      </c>
      <c r="C75" s="16" t="inlineStr">
        <is>
          <t>Vanilla ice cream, Coffee beans, Liqueurs for affogato</t>
        </is>
      </c>
    </row>
    <row r="76">
      <c r="A76" s="16" t="inlineStr">
        <is>
          <t>Supper Club</t>
        </is>
      </c>
      <c r="B76" s="17" t="inlineStr">
        <is>
          <t>Anchovy Toast</t>
        </is>
      </c>
      <c r="C76" s="16" t="inlineStr">
        <is>
          <t>House bread, Anchovy fillets (salted/oil), White anchovies (boquerones), Red capsicum</t>
        </is>
      </c>
    </row>
    <row r="77">
      <c r="A77" s="16" t="inlineStr">
        <is>
          <t>Supper Club</t>
        </is>
      </c>
      <c r="B77" s="17" t="inlineStr">
        <is>
          <t>Prawns &amp; Rouille</t>
        </is>
      </c>
      <c r="C77" s="16" t="inlineStr">
        <is>
          <t>Prawns, green (raw), Garlic, Saffron, Chillies, fresh, Eggs, free range, Neutral oil (canola/rice bran), Spring onions / scallions, Samphire / sea beans</t>
        </is>
      </c>
    </row>
    <row r="78">
      <c r="A78" s="16" t="inlineStr">
        <is>
          <t>Supper Club</t>
        </is>
      </c>
      <c r="B78" s="17" t="inlineStr">
        <is>
          <t>Barramundi Bites</t>
        </is>
      </c>
      <c r="C78" s="16" t="inlineStr">
        <is>
          <t>Barramundi fillet, Tuna, canned (for tonnato), Anchovy fillets (salted/oil), Capers, Eggs, free range, Neutral oil (canola/rice bran), Fennel bulbs</t>
        </is>
      </c>
    </row>
    <row r="79">
      <c r="A79" s="16" t="inlineStr">
        <is>
          <t>Supper Club</t>
        </is>
      </c>
      <c r="B79" s="17" t="inlineStr">
        <is>
          <t>Bouillabaisse Cup</t>
        </is>
      </c>
      <c r="C79" s="16" t="inlineStr">
        <is>
          <t>Rock lobster (whole), Local white fish, Kombu, Bonito flakes (katsuobushi), Shot glasses / mini cups</t>
        </is>
      </c>
    </row>
    <row r="80">
      <c r="A80" s="16" t="inlineStr">
        <is>
          <t>Supper Club</t>
        </is>
      </c>
      <c r="B80" s="17" t="inlineStr">
        <is>
          <t>Kataifi Prawns</t>
        </is>
      </c>
      <c r="C80" s="16" t="inlineStr">
        <is>
          <t>Prawns, green (raw), Kataifi pastry, Yuzu juice, Garlic, Saffron, Chillies, fresh, Eggs, free range, Neutral oil (canola/rice bran)</t>
        </is>
      </c>
    </row>
    <row r="81">
      <c r="A81" s="16" t="inlineStr">
        <is>
          <t>Supper Club</t>
        </is>
      </c>
      <c r="B81" s="17" t="inlineStr">
        <is>
          <t>Smoked Salmon Rösti</t>
        </is>
      </c>
      <c r="C81" s="16" t="inlineStr">
        <is>
          <t>Smoked salmon, Potatoes (rösti variety), Duck fat, Tahini / sesame paste, Cream, thickened, Tobiko (flying fish roe)</t>
        </is>
      </c>
    </row>
    <row r="82">
      <c r="A82" s="16" t="inlineStr">
        <is>
          <t>Supper Club</t>
        </is>
      </c>
      <c r="B82" s="17" t="inlineStr">
        <is>
          <t>Koji Pork Belly</t>
        </is>
      </c>
      <c r="C82" s="16" t="inlineStr">
        <is>
          <t>Pork belly, Apples (for koji), Shiro koji (rice koji), Yuzu juice, Soy sauce, Mirin, Fish sauce, Limes, Palm sugar, Chillies, fresh, Rice vinegar</t>
        </is>
      </c>
    </row>
    <row r="83">
      <c r="A83" s="16" t="inlineStr">
        <is>
          <t>Supper Club</t>
        </is>
      </c>
      <c r="B83" s="17" t="inlineStr">
        <is>
          <t>Steak &amp; Rösti</t>
        </is>
      </c>
      <c r="C83" s="16" t="inlineStr">
        <is>
          <t>Scotch fillet, Potatoes (rösti variety), Duck fat, Beef / veal bones or stock, Garlic</t>
        </is>
      </c>
    </row>
    <row r="84">
      <c r="A84" s="16" t="inlineStr">
        <is>
          <t>Supper Club</t>
        </is>
      </c>
      <c r="B84" s="17" t="inlineStr">
        <is>
          <t>BBQ Lamb on Bread</t>
        </is>
      </c>
      <c r="C84" s="16" t="inlineStr">
        <is>
          <t>Lamb shoulder, House bread, Anchovy fillets (salted/oil), Dried chillies / chilli paste, Palm sugar, Mint</t>
        </is>
      </c>
    </row>
    <row r="85">
      <c r="A85" s="16" t="inlineStr">
        <is>
          <t>Supper Club</t>
        </is>
      </c>
      <c r="B85" s="17" t="inlineStr">
        <is>
          <t>Duck Fat Corn</t>
        </is>
      </c>
      <c r="C85" s="16" t="inlineStr">
        <is>
          <t>Sweet corn (cobs), Duck fat, Spring onions / scallions, Neutral oil (canola/rice bran), White sesame seeds</t>
        </is>
      </c>
    </row>
    <row r="86">
      <c r="A86" s="16" t="inlineStr">
        <is>
          <t>Supper Club</t>
        </is>
      </c>
      <c r="B86" s="17" t="inlineStr">
        <is>
          <t>Katsu Duck Sando</t>
        </is>
      </c>
      <c r="C86" s="16" t="inlineStr">
        <is>
          <t>Duck legs, Panko breadcrumbs, Plain flour, Eggs, free range, Neutral oil (canola/rice bran), Tonkatsu sauce (or base ingredients), Fish sauce, Limes, Palm sugar, House bread, Mixed greens / bitter greens</t>
        </is>
      </c>
    </row>
    <row r="87">
      <c r="A87" s="16" t="inlineStr">
        <is>
          <t>Supper Club</t>
        </is>
      </c>
      <c r="B87" s="17" t="inlineStr">
        <is>
          <t>Pork Belly Skewers</t>
        </is>
      </c>
      <c r="C87" s="16" t="inlineStr">
        <is>
          <t>Pork belly, Bamboo skewers, Yuzu juice, Soy sauce, Mirin, Fish sauce, Limes, Palm sugar, Chillies, fresh, Rice vinegar, White sesame seeds, Spring onions / scallions</t>
        </is>
      </c>
    </row>
    <row r="88">
      <c r="A88" s="16" t="inlineStr">
        <is>
          <t>Supper Club</t>
        </is>
      </c>
      <c r="B88" s="17" t="inlineStr">
        <is>
          <t>Charred Butternut</t>
        </is>
      </c>
      <c r="C88" s="16" t="inlineStr">
        <is>
          <t>Butternut squash, Lemongrass, Sweet corn (cobs), White sesame seeds</t>
        </is>
      </c>
    </row>
    <row r="89">
      <c r="A89" s="16" t="inlineStr">
        <is>
          <t>Supper Club</t>
        </is>
      </c>
      <c r="B89" s="17" t="inlineStr">
        <is>
          <t>Potato Rösti</t>
        </is>
      </c>
      <c r="C89" s="16" t="inlineStr">
        <is>
          <t>Potatoes (rösti variety), Duck fat, Garlic, Neutral oil (canola/rice bran), Butter, unsalted, Soft herbs (parsley/chives/dill)</t>
        </is>
      </c>
    </row>
    <row r="90">
      <c r="A90" s="16" t="inlineStr">
        <is>
          <t>Supper Club</t>
        </is>
      </c>
      <c r="B90" s="17" t="inlineStr">
        <is>
          <t>Blistered Shishito</t>
        </is>
      </c>
      <c r="C90" s="16" t="inlineStr">
        <is>
          <t>Shishito peppers, Spring onions / scallions, Neutral oil (canola/rice bran), Yuzu juice</t>
        </is>
      </c>
    </row>
    <row r="91">
      <c r="A91" s="16" t="inlineStr">
        <is>
          <t>Supper Club</t>
        </is>
      </c>
      <c r="B91" s="17" t="inlineStr">
        <is>
          <t>Green Mango Salad</t>
        </is>
      </c>
      <c r="C91" s="16" t="inlineStr">
        <is>
          <t>Green mango, Shiso leaves, Mint, White sesame seeds</t>
        </is>
      </c>
    </row>
    <row r="92">
      <c r="A92" s="16" t="inlineStr">
        <is>
          <t>Supper Club</t>
        </is>
      </c>
      <c r="B92" s="17" t="inlineStr">
        <is>
          <t>Summer Squash Crudo</t>
        </is>
      </c>
      <c r="C92" s="16" t="inlineStr">
        <is>
          <t>Summer squash / zucchini, Yuzu juice, Kalamata / black olives, Nori sheets, White sesame seeds, Black sesame seeds, Bonito flakes (katsuobushi), Shiso leaves</t>
        </is>
      </c>
    </row>
    <row r="93">
      <c r="A93" s="16" t="inlineStr">
        <is>
          <t>Supper Club</t>
        </is>
      </c>
      <c r="B93" s="17" t="inlineStr">
        <is>
          <t>Corn &amp; Tofu Toast</t>
        </is>
      </c>
      <c r="C93" s="16" t="inlineStr">
        <is>
          <t>House bread, Firm / silken tofu, Sweet corn (cobs), Freeze-dried corn (optional)</t>
        </is>
      </c>
    </row>
    <row r="94">
      <c r="A94" s="16" t="inlineStr">
        <is>
          <t>Supper Club</t>
        </is>
      </c>
      <c r="B94" s="17" t="inlineStr">
        <is>
          <t>Pacific Oysters</t>
        </is>
      </c>
      <c r="C94" s="16" t="inlineStr">
        <is>
          <t>Pacific oysters, Lemons, Tahini / sesame paste, Cream, thickened, Wasabi caviar / wasabi tobiko</t>
        </is>
      </c>
    </row>
    <row r="95">
      <c r="A95" s="16" t="inlineStr">
        <is>
          <t>Supper Club</t>
        </is>
      </c>
      <c r="B95" s="17" t="inlineStr">
        <is>
          <t>Tuna Crudo</t>
        </is>
      </c>
      <c r="C95" s="16" t="inlineStr">
        <is>
          <t>Tuna, sashimi grade, Fennel bulbs, Yuzu juice, Soy sauce, Mirin, Fish sauce, Limes, Palm sugar, Chillies, fresh, Rice vinegar, Kalamata / black olives, Nori sheets, White sesame seeds, Black sesame seeds, Bonito flakes (katsuobushi)</t>
        </is>
      </c>
    </row>
    <row r="96">
      <c r="A96" s="16" t="inlineStr">
        <is>
          <t>Supper Club</t>
        </is>
      </c>
      <c r="B96" s="17" t="inlineStr">
        <is>
          <t>Crab Potato Pancake</t>
        </is>
      </c>
      <c r="C96" s="16" t="inlineStr">
        <is>
          <t>Potatoes (rösti variety), Plain flour, Eggs, free range, Blue swimmer crab meat, Tobiko (flying fish roe), Prawns, green (raw), Garlic, Saffron, Chillies, fresh, Neutral oil (canola/rice bran)</t>
        </is>
      </c>
    </row>
    <row r="97">
      <c r="A97" s="16" t="inlineStr">
        <is>
          <t>Supper Club</t>
        </is>
      </c>
      <c r="B97" s="17" t="inlineStr">
        <is>
          <t>Glazed Pork Belly</t>
        </is>
      </c>
      <c r="C97" s="16" t="inlineStr">
        <is>
          <t>Pork belly, Palm sugar, Firm / silken tofu, Tahini / sesame paste, Green mango</t>
        </is>
      </c>
    </row>
    <row r="98">
      <c r="A98" s="16" t="inlineStr">
        <is>
          <t>Supper Club</t>
        </is>
      </c>
      <c r="B98" s="17" t="inlineStr">
        <is>
          <t>Wagyu Skewers</t>
        </is>
      </c>
      <c r="C98" s="16" t="inlineStr">
        <is>
          <t>Wagyu (steak cut), Bamboo skewers, Spring onions / scallions, Neutral oil (canola/rice bran), Shishito peppers, Tuna, canned (for tonnato), Anchovy fillets (salted/oil), Capers, Eggs, free range, White sesame seeds</t>
        </is>
      </c>
    </row>
    <row r="99">
      <c r="A99" s="16" t="inlineStr">
        <is>
          <t>Supper Club</t>
        </is>
      </c>
      <c r="B99" s="17" t="inlineStr">
        <is>
          <t>C.F.D. Bites</t>
        </is>
      </c>
      <c r="C99" s="16" t="inlineStr">
        <is>
          <t>Duck legs, Panko breadcrumbs, Plain flour, Eggs, free range, Neutral oil (canola/rice bran), Tonkatsu sauce (or base ingredients), Fish sauce, Limes, Palm sugar, Duck fat, Sweet corn (cobs), Mixed greens / bitter greens</t>
        </is>
      </c>
    </row>
    <row r="100">
      <c r="A100" s="16" t="inlineStr">
        <is>
          <t>Supper Club</t>
        </is>
      </c>
      <c r="B100" s="17" t="inlineStr">
        <is>
          <t>Kataifi Haloumi</t>
        </is>
      </c>
      <c r="C100" s="16" t="inlineStr">
        <is>
          <t>Haloumi, Kataifi pastry, Sundried tomatoes, Dried chillies / chilli paste, Palm sugar, Fish sauce, Yuzu juice, Shiso leaves</t>
        </is>
      </c>
    </row>
    <row r="101">
      <c r="A101" s="16" t="inlineStr">
        <is>
          <t>Supper Club</t>
        </is>
      </c>
      <c r="B101" s="17" t="inlineStr">
        <is>
          <t>Whipped Sesame Tofu</t>
        </is>
      </c>
      <c r="C101" s="16" t="inlineStr">
        <is>
          <t>Firm / silken tofu, Tahini / sesame paste, Tomatoes, truss, Rice vinegar, Caster sugar, Sweet corn (cobs), Freeze-dried corn (optional), Shishito peppers</t>
        </is>
      </c>
    </row>
    <row r="102">
      <c r="A102" s="16" t="inlineStr">
        <is>
          <t>Supper Club</t>
        </is>
      </c>
      <c r="B102" s="17" t="inlineStr">
        <is>
          <t>Confit Squash</t>
        </is>
      </c>
      <c r="C102" s="16" t="inlineStr">
        <is>
          <t>Butternut squash, Lemongrass, Sweet corn (cobs), Yuzu juice, Soy sauce, Mirin, Fish sauce, Limes, Palm sugar, Chillies, fresh, Rice vinegar, Kalamata / black olives, Nori sheets, White sesame seeds, Black sesame seeds, Bonito flakes (katsuobushi)</t>
        </is>
      </c>
    </row>
    <row r="103">
      <c r="A103" s="16" t="inlineStr">
        <is>
          <t>Supper Club</t>
        </is>
      </c>
      <c r="B103" s="17" t="inlineStr">
        <is>
          <t>House bread for the table</t>
        </is>
      </c>
      <c r="C103" s="16" t="inlineStr">
        <is>
          <t>House bread, Garlic, Neutral oil (canola/rice bran), Butter, unsalted, Soft herbs (parsley/chives/dill)</t>
        </is>
      </c>
    </row>
    <row r="104">
      <c r="A104" s="16" t="inlineStr">
        <is>
          <t>Supper Club</t>
        </is>
      </c>
      <c r="B104" s="17" t="inlineStr">
        <is>
          <t>Chef's Cheesecake</t>
        </is>
      </c>
      <c r="C104" s="16" t="inlineStr">
        <is>
          <t>Cream cheese, Cream, thickened, Eggs, free range, Caster sugar, Biscuits (cheesecake base), Butter, unsalted, Vanilla (bean/paste)</t>
        </is>
      </c>
    </row>
    <row r="105">
      <c r="A105" s="16" t="inlineStr">
        <is>
          <t>Supper Club</t>
        </is>
      </c>
      <c r="B105" s="17" t="inlineStr">
        <is>
          <t>Chocolate Ganache</t>
        </is>
      </c>
      <c r="C105" s="16" t="inlineStr">
        <is>
          <t>Dark chocolate (couverture), Cream, thickened, Sorbet fruit / purée, Caster sugar, Glucose syrup</t>
        </is>
      </c>
    </row>
    <row r="106">
      <c r="A106" s="16" t="inlineStr">
        <is>
          <t>Supper Club</t>
        </is>
      </c>
      <c r="B106" s="17" t="inlineStr">
        <is>
          <t>Sorbet Trio</t>
        </is>
      </c>
      <c r="C106" s="16" t="inlineStr">
        <is>
          <t>Sorbet fruit / purée, Caster sugar, Glucose syrup</t>
        </is>
      </c>
    </row>
    <row r="107">
      <c r="A107" s="16" t="inlineStr">
        <is>
          <t>Supper Club</t>
        </is>
      </c>
      <c r="B107" s="17" t="inlineStr">
        <is>
          <t>Affogato</t>
        </is>
      </c>
      <c r="C107" s="16" t="inlineStr">
        <is>
          <t>Vanilla ice cream, Coffee beans, Liqueurs for affogato</t>
        </is>
      </c>
    </row>
    <row r="108">
      <c r="A108" s="16" t="inlineStr">
        <is>
          <t>Canapés</t>
        </is>
      </c>
      <c r="B108" s="17" t="inlineStr">
        <is>
          <t>Sesame Tofu Tart</t>
        </is>
      </c>
      <c r="C108" s="16" t="inlineStr">
        <is>
          <t>Tart shells (canapé size), Firm / silken tofu, Tahini / sesame paste, Tomatoes, truss, Rice vinegar, Caster sugar, Sweet corn (cobs), Freeze-dried corn (optional)</t>
        </is>
      </c>
    </row>
    <row r="109">
      <c r="A109" s="16" t="inlineStr">
        <is>
          <t>Canapés</t>
        </is>
      </c>
      <c r="B109" s="17" t="inlineStr">
        <is>
          <t>Pacific Oyster, Natural (Yuzu)</t>
        </is>
      </c>
      <c r="C109" s="16" t="inlineStr">
        <is>
          <t>Pacific oysters, Yuzu juice</t>
        </is>
      </c>
    </row>
    <row r="110">
      <c r="A110" s="16" t="inlineStr">
        <is>
          <t>Canapés</t>
        </is>
      </c>
      <c r="B110" s="17" t="inlineStr">
        <is>
          <t>Tuna Crudo Spoon</t>
        </is>
      </c>
      <c r="C110" s="16" t="inlineStr">
        <is>
          <t>Tuna, sashimi grade, Yuzu juice, Soy sauce, Mirin, Fish sauce, Limes, Palm sugar, Chillies, fresh, Rice vinegar, Kalamata / black olives, Nori sheets, White sesame seeds, Black sesame seeds, Bonito flakes (katsuobushi), Canapé tasting spoons</t>
        </is>
      </c>
    </row>
    <row r="111">
      <c r="A111" s="16" t="inlineStr">
        <is>
          <t>Canapés</t>
        </is>
      </c>
      <c r="B111" s="17" t="inlineStr">
        <is>
          <t>Wagyu Skewer</t>
        </is>
      </c>
      <c r="C111" s="16" t="inlineStr">
        <is>
          <t>Wagyu (steak cut), Bamboo skewers, Tuna, canned (for tonnato), Anchovy fillets (salted/oil), Capers, Eggs, free range, Neutral oil (canola/rice bran), Spring onions / scallions, White sesame seeds</t>
        </is>
      </c>
    </row>
    <row r="112">
      <c r="A112" s="16" t="inlineStr">
        <is>
          <t>Canapés</t>
        </is>
      </c>
      <c r="B112" s="17" t="inlineStr">
        <is>
          <t>Lobster Bouillabaisse Cup</t>
        </is>
      </c>
      <c r="C112" s="16" t="inlineStr">
        <is>
          <t>Rock lobster (whole), Local white fish, Kombu, Bonito flakes (katsuobushi), Prawns, green (raw), Garlic, Saffron, Chillies, fresh, Eggs, free range, Neutral oil (canola/rice bran), Shot glasses / mini cups</t>
        </is>
      </c>
    </row>
    <row r="113">
      <c r="A113" s="16" t="inlineStr">
        <is>
          <t>Canapés</t>
        </is>
      </c>
      <c r="B113" s="17" t="inlineStr">
        <is>
          <t>Affogato Shot</t>
        </is>
      </c>
      <c r="C113" s="16" t="inlineStr">
        <is>
          <t>Vanilla ice cream, Coffee beans, Liqueurs for affogato, Shot glasses / mini cups</t>
        </is>
      </c>
    </row>
    <row r="114">
      <c r="A114" s="16" t="inlineStr">
        <is>
          <t>Canapés</t>
        </is>
      </c>
      <c r="B114" s="17" t="inlineStr">
        <is>
          <t>Cheesecake Bite</t>
        </is>
      </c>
      <c r="C114" s="16" t="inlineStr">
        <is>
          <t>Cream cheese, Cream, thickened, Eggs, free range, Caster sugar, Biscuits (cheesecake base), Butter, unsalted, Vanilla (bean/paste)</t>
        </is>
      </c>
    </row>
    <row r="115">
      <c r="A115" s="16" t="inlineStr">
        <is>
          <t>Canapés</t>
        </is>
      </c>
      <c r="B115" s="17" t="inlineStr">
        <is>
          <t>Glazed Pork Belly (canapé)</t>
        </is>
      </c>
      <c r="C115" s="16" t="inlineStr">
        <is>
          <t>Pork belly, Green mango, Shiso leaves</t>
        </is>
      </c>
    </row>
    <row r="116">
      <c r="A116" s="16" t="inlineStr">
        <is>
          <t>Canapés</t>
        </is>
      </c>
      <c r="B116" s="17" t="inlineStr">
        <is>
          <t>Kataifi Haloumi</t>
        </is>
      </c>
      <c r="C116" s="16" t="inlineStr">
        <is>
          <t>Haloumi, Kataifi pastry, Sundried tomatoes, Dried chillies / chilli paste, Palm sugar, Fish sauce, Yuzu juice, Shiso leaves</t>
        </is>
      </c>
    </row>
    <row r="117">
      <c r="A117" s="16" t="inlineStr">
        <is>
          <t>Canapés</t>
        </is>
      </c>
      <c r="B117" s="17" t="inlineStr">
        <is>
          <t>Confit Squash</t>
        </is>
      </c>
      <c r="C117" s="16" t="inlineStr">
        <is>
          <t>Butternut squash, Lemongrass, Sweet corn (cobs), Yuzu juice, Soy sauce, Mirin, Fish sauce, Limes, Palm sugar, Chillies, fresh, Rice vinegar, Kalamata / black olives, Nori sheets, White sesame seeds, Black sesame seeds, Bonito flakes (katsuobushi)</t>
        </is>
      </c>
    </row>
    <row r="118">
      <c r="A118" s="16" t="inlineStr">
        <is>
          <t>Canapés</t>
        </is>
      </c>
      <c r="B118" s="17" t="inlineStr">
        <is>
          <t>White Anchovy Toast</t>
        </is>
      </c>
      <c r="C118" s="16" t="inlineStr">
        <is>
          <t>White anchovies (boquerones), Red capsicum, Anchovy fillets (salted/oil), Panko breadcrumbs, Extra virgin olive oil</t>
        </is>
      </c>
    </row>
    <row r="119">
      <c r="A119" s="16" t="inlineStr">
        <is>
          <t>Canapés</t>
        </is>
      </c>
      <c r="B119" s="17" t="inlineStr">
        <is>
          <t>BBQ Lamb Shoulder</t>
        </is>
      </c>
      <c r="C119" s="16" t="inlineStr">
        <is>
          <t>Lamb shoulder, Green mango, Anchovy fillets (salted/oil), Dried chillies / chilli paste, Palm sugar, Yuzu juice, Kalamata / black olives</t>
        </is>
      </c>
    </row>
    <row r="120">
      <c r="A120" s="16" t="inlineStr">
        <is>
          <t>Canapés</t>
        </is>
      </c>
      <c r="B120" s="17" t="inlineStr">
        <is>
          <t>C.F.D. Bite</t>
        </is>
      </c>
      <c r="C120" s="16" t="inlineStr">
        <is>
          <t>Duck legs, Panko breadcrumbs, Plain flour, Eggs, free range, Neutral oil (canola/rice bran), Tonkatsu sauce (or base ingredients), Fish sauce, Limes, Palm sugar, Duck fat, Sweet corn (cobs), Mixed greens / bitter greens</t>
        </is>
      </c>
    </row>
    <row r="121">
      <c r="A121" s="16" t="inlineStr">
        <is>
          <t>Canapés</t>
        </is>
      </c>
      <c r="B121" s="17" t="inlineStr">
        <is>
          <t>Barramundi Bite</t>
        </is>
      </c>
      <c r="C121" s="16" t="inlineStr">
        <is>
          <t>Barramundi fillet, Summer squash / zucchini, Tuna, canned (for tonnato), Anchovy fillets (salted/oil), Capers, Eggs, free range, Neutral oil (canola/rice bran), Samphire / sea beans, Fennel bulbs, Prawns, green (raw), Garlic, Saffron, Chillies, fresh</t>
        </is>
      </c>
    </row>
    <row r="122">
      <c r="A122" s="16" t="inlineStr">
        <is>
          <t>Canapés</t>
        </is>
      </c>
      <c r="B122" s="17" t="inlineStr">
        <is>
          <t>Pacific Oyster, Dressed</t>
        </is>
      </c>
      <c r="C122" s="16" t="inlineStr">
        <is>
          <t>Pacific oysters, Lemons, Tahini / sesame paste, Cream, thickened, Wasabi caviar / wasabi tobiko</t>
        </is>
      </c>
    </row>
    <row r="123">
      <c r="A123" s="16" t="inlineStr">
        <is>
          <t>Canapés</t>
        </is>
      </c>
      <c r="B123" s="17" t="inlineStr">
        <is>
          <t>Crab Potato Pancake</t>
        </is>
      </c>
      <c r="C123" s="16" t="inlineStr">
        <is>
          <t>Potatoes (rösti variety), Plain flour, Eggs, free range, Blue swimmer crab meat, Tobiko (flying fish roe), Prawns, green (raw), Garlic, Saffron, Chillies, fresh, Neutral oil (canola/rice bran)</t>
        </is>
      </c>
    </row>
    <row r="124">
      <c r="A124" s="16" t="inlineStr">
        <is>
          <t>Canapés</t>
        </is>
      </c>
      <c r="B124" s="17" t="inlineStr">
        <is>
          <t>Scotch Fillet</t>
        </is>
      </c>
      <c r="C124" s="16" t="inlineStr">
        <is>
          <t>Scotch fillet, Potatoes (rösti variety), Duck fat, Mixed greens / bitter greens, Beef / veal bones or stock, Garlic</t>
        </is>
      </c>
    </row>
    <row r="125">
      <c r="A125" s="16" t="inlineStr">
        <is>
          <t>Canapés</t>
        </is>
      </c>
      <c r="B125" s="17" t="inlineStr">
        <is>
          <t>Chocolate Ganache</t>
        </is>
      </c>
      <c r="C125" s="16" t="inlineStr">
        <is>
          <t>Dark chocolate (couverture), Cream, thickened, Sorbet fruit / purée, Caster sugar, Glucose syrup</t>
        </is>
      </c>
    </row>
    <row r="126">
      <c r="A126" s="16" t="inlineStr">
        <is>
          <t>Functions</t>
        </is>
      </c>
      <c r="B126" s="17" t="inlineStr">
        <is>
          <t>House Bread</t>
        </is>
      </c>
      <c r="C126" s="16" t="inlineStr">
        <is>
          <t>House bread, Garlic, Neutral oil (canola/rice bran), Butter, unsalted, Soft herbs (parsley/chives/dill)</t>
        </is>
      </c>
    </row>
    <row r="127">
      <c r="A127" s="16" t="inlineStr">
        <is>
          <t>Functions</t>
        </is>
      </c>
      <c r="B127" s="17" t="inlineStr">
        <is>
          <t>Kataifi-Wrapped Haloumi</t>
        </is>
      </c>
      <c r="C127" s="16" t="inlineStr">
        <is>
          <t>Haloumi, Kataifi pastry, Sundried tomatoes, Dried chillies / chilli paste, Palm sugar, Fish sauce, Yuzu juice, Shiso leaves</t>
        </is>
      </c>
    </row>
    <row r="128">
      <c r="A128" s="16" t="inlineStr">
        <is>
          <t>Functions</t>
        </is>
      </c>
      <c r="B128" s="17" t="inlineStr">
        <is>
          <t>Tuna Crudo</t>
        </is>
      </c>
      <c r="C128" s="16" t="inlineStr">
        <is>
          <t>Tuna, sashimi grade, Fennel bulbs, Yuzu juice, Soy sauce, Mirin, Fish sauce, Limes, Palm sugar, Chillies, fresh, Rice vinegar, Kalamata / black olives, Nori sheets, White sesame seeds, Black sesame seeds, Bonito flakes (katsuobushi)</t>
        </is>
      </c>
    </row>
    <row r="129">
      <c r="A129" s="16" t="inlineStr">
        <is>
          <t>Functions</t>
        </is>
      </c>
      <c r="B129" s="17" t="inlineStr">
        <is>
          <t>Seared Wagyu Skewers</t>
        </is>
      </c>
      <c r="C129" s="16" t="inlineStr">
        <is>
          <t>Wagyu (steak cut), Bamboo skewers, Spring onions / scallions, Neutral oil (canola/rice bran), Shishito peppers, Tuna, canned (for tonnato), Anchovy fillets (salted/oil), Capers, Eggs, free range, White sesame seeds</t>
        </is>
      </c>
    </row>
    <row r="130">
      <c r="A130" s="16" t="inlineStr">
        <is>
          <t>Functions</t>
        </is>
      </c>
      <c r="B130" s="17" t="inlineStr">
        <is>
          <t>Potato Pancake</t>
        </is>
      </c>
      <c r="C130" s="16" t="inlineStr">
        <is>
          <t>Potatoes (rösti variety), Plain flour, Eggs, free range, Blue swimmer crab meat, Tobiko (flying fish roe), Prawns, green (raw), Garlic, Saffron, Chillies, fresh, Neutral oil (canola/rice bran)</t>
        </is>
      </c>
    </row>
    <row r="131">
      <c r="A131" s="16" t="inlineStr">
        <is>
          <t>Functions</t>
        </is>
      </c>
      <c r="B131" s="17" t="inlineStr">
        <is>
          <t>BBQ Lamb Shoulder</t>
        </is>
      </c>
      <c r="C131" s="16" t="inlineStr">
        <is>
          <t>Lamb shoulder, Anchovy fillets (salted/oil), Dried chillies / chilli paste, Palm sugar, Mint, Kalamata / black olives</t>
        </is>
      </c>
    </row>
    <row r="132">
      <c r="A132" s="16" t="inlineStr">
        <is>
          <t>Functions</t>
        </is>
      </c>
      <c r="B132" s="17" t="inlineStr">
        <is>
          <t>Roast Barramundi</t>
        </is>
      </c>
      <c r="C132" s="16" t="inlineStr">
        <is>
          <t>Barramundi fillet, Summer squash / zucchini, Tuna, canned (for tonnato), Anchovy fillets (salted/oil), Capers, Eggs, free range, Neutral oil (canola/rice bran), Samphire / sea beans, Fennel bulbs</t>
        </is>
      </c>
    </row>
    <row r="133">
      <c r="A133" s="16" t="inlineStr">
        <is>
          <t>Functions</t>
        </is>
      </c>
      <c r="B133" s="17" t="inlineStr">
        <is>
          <t>Chef's Cheesecake</t>
        </is>
      </c>
      <c r="C133" s="16" t="inlineStr">
        <is>
          <t>Cream cheese, Cream, thickened, Eggs, free range, Caster sugar, Biscuits (cheesecake base), Butter, unsalted, Vanilla (bean/paste)</t>
        </is>
      </c>
    </row>
    <row r="134">
      <c r="A134" s="16" t="inlineStr">
        <is>
          <t>Functions</t>
        </is>
      </c>
      <c r="B134" s="17" t="inlineStr">
        <is>
          <t>Chocolate Ganache</t>
        </is>
      </c>
      <c r="C134" s="16" t="inlineStr">
        <is>
          <t>Dark chocolate (couverture), Cream, thickened, Sorbet fruit / purée, Caster sugar, Glucose syrup</t>
        </is>
      </c>
    </row>
    <row r="135">
      <c r="A135" s="16" t="inlineStr">
        <is>
          <t>Functions</t>
        </is>
      </c>
      <c r="B135" s="17" t="inlineStr">
        <is>
          <t>Pacific Oysters</t>
        </is>
      </c>
      <c r="C135" s="16" t="inlineStr">
        <is>
          <t>Pacific oysters, Lemons, Tahini / sesame paste, Cream, thickened, Wasabi caviar / wasabi tobiko</t>
        </is>
      </c>
    </row>
    <row r="136">
      <c r="A136" s="16" t="inlineStr">
        <is>
          <t>Functions</t>
        </is>
      </c>
      <c r="B136" s="17" t="inlineStr">
        <is>
          <t>Glazed Pork Belly</t>
        </is>
      </c>
      <c r="C136" s="16" t="inlineStr">
        <is>
          <t>Pork belly, Palm sugar, Firm / silken tofu, Tahini / sesame paste, Green mango</t>
        </is>
      </c>
    </row>
    <row r="137">
      <c r="A137" s="16" t="inlineStr">
        <is>
          <t>Functions</t>
        </is>
      </c>
      <c r="B137" s="17" t="inlineStr">
        <is>
          <t>Whipped Sesame Tofu</t>
        </is>
      </c>
      <c r="C137" s="16" t="inlineStr">
        <is>
          <t>Firm / silken tofu, Tahini / sesame paste, Tomatoes, truss, Rice vinegar, Caster sugar, Sweet corn (cobs), Freeze-dried corn (optional), Shishito peppers</t>
        </is>
      </c>
    </row>
    <row r="138">
      <c r="A138" s="16" t="inlineStr">
        <is>
          <t>Functions</t>
        </is>
      </c>
      <c r="B138" s="17" t="inlineStr">
        <is>
          <t>C.F.D. Cecilia's Fried Duck</t>
        </is>
      </c>
      <c r="C138" s="16" t="inlineStr">
        <is>
          <t>Duck legs, Panko breadcrumbs, Plain flour, Eggs, free range, Neutral oil (canola/rice bran), Tonkatsu sauce (or base ingredients), Fish sauce, Limes, Palm sugar, Duck fat, Sweet corn (cobs), Mixed greens / bitter greens</t>
        </is>
      </c>
    </row>
    <row r="139">
      <c r="A139" s="16" t="inlineStr">
        <is>
          <t>Functions</t>
        </is>
      </c>
      <c r="B139" s="17" t="inlineStr">
        <is>
          <t>Seafood Platter for Two</t>
        </is>
      </c>
      <c r="C139" s="16" t="inlineStr">
        <is>
          <t>Rock lobster (whole), Garlic, Soft herbs (parsley/chives/dill), Butter, unsalted, Pacific oysters, Tahini / sesame paste, Cream, thickened, Tuna, sashimi grade, Prawns, green (raw), Saffron, Chillies, fresh, Eggs, free range, Neutral oil (canola/rice bran), Blue swimmer crab meat, Potatoes (rösti variety), White anchovies (boquerones), Barramundi fillet, Samphire / sea beans, House bread</t>
        </is>
      </c>
    </row>
  </sheetData>
  <autoFilter ref="A1:C139"/>
  <pageMargins left="0.75" right="0.75" top="1" bottom="1" header="0.5" footer="0.5"/>
</worksheet>
</file>

<file path=xl/worksheets/sheet3.xml><?xml version="1.0" encoding="utf-8"?>
<worksheet xmlns="http://schemas.openxmlformats.org/spreadsheetml/2006/main">
  <sheetPr>
    <outlinePr summaryBelow="1" summaryRight="1"/>
    <pageSetUpPr/>
  </sheetPr>
  <dimension ref="B1:B22"/>
  <sheetViews>
    <sheetView workbookViewId="0">
      <selection activeCell="A1" sqref="A1"/>
    </sheetView>
  </sheetViews>
  <sheetFormatPr baseColWidth="8" defaultRowHeight="15"/>
  <cols>
    <col width="4" customWidth="1" min="1" max="1"/>
    <col width="110" customWidth="1" min="2" max="2"/>
  </cols>
  <sheetData>
    <row r="1">
      <c r="B1" s="18" t="inlineStr">
        <is>
          <t>How to use</t>
        </is>
      </c>
    </row>
    <row r="2">
      <c r="B2" s="19" t="inlineStr">
        <is>
          <t>• Yellow cells are yours to fill: Supplier, Par, On Hand, In-house/Buy, Unit Cost, Ordered ✓, and the order date.</t>
        </is>
      </c>
    </row>
    <row r="3">
      <c r="B3" s="19" t="inlineStr">
        <is>
          <t>• Order Qty = Par − On Hand (floors at 0). Line Total = Order Qty × Unit Cost. Grand total sits under the table.</t>
        </is>
      </c>
    </row>
    <row r="4">
      <c r="B4" s="19" t="inlineStr">
        <is>
          <t>• Example row: Pacific oysters | Supplier: Sydney Rock Co. | Par 30 doz | On Hand 6 | Order Qty → 24 | Unit Cost $18.00 | Line Total → $432.00</t>
        </is>
      </c>
    </row>
    <row r="5">
      <c r="B5" s="19" t="inlineStr">
        <is>
          <t>• 'Used In' shows every dish that pulls on the item — use it to judge par. Filter by Category to build one order per supplier.</t>
        </is>
      </c>
    </row>
    <row r="6">
      <c r="B6" s="19" t="inlineStr">
        <is>
          <t>• Sauces/components (pon cham, sambals, rouille, tonnato, furikake, dashi, koji apples, tomato pickle) are broken down into their raw ingredients.</t>
        </is>
      </c>
    </row>
    <row r="7">
      <c r="B7" s="19" t="inlineStr"/>
    </row>
    <row r="8">
      <c r="B8" s="18" t="inlineStr">
        <is>
          <t>Assumptions made (not stated on the menu)</t>
        </is>
      </c>
    </row>
    <row r="9">
      <c r="B9" s="19" t="inlineStr">
        <is>
          <t>• Eggs Benedict base: menu doesn't say — listed English muffins; swap for house bread if that's the plan.</t>
        </is>
      </c>
    </row>
    <row r="10">
      <c r="B10" s="19" t="inlineStr">
        <is>
          <t>• Bánh mì: assumed a baguette-style roll rather than house bread.</t>
        </is>
      </c>
    </row>
    <row r="11">
      <c r="B11" s="19" t="inlineStr">
        <is>
          <t>• 'Sea beans' and 'samphire' treated as the same product.</t>
        </is>
      </c>
    </row>
    <row r="12">
      <c r="B12" s="19" t="inlineStr">
        <is>
          <t>• Lobster assumed to be whole rock lobster; wagyu assumed one cut for both breakfast and skewers.</t>
        </is>
      </c>
    </row>
    <row r="13">
      <c r="B13" s="19" t="inlineStr">
        <is>
          <t>• Ice cream, sorbet, cheesecake, sausages, bread and smoked salmon listed as bought-in items — mark 'In-house' where you make them and order the raw inputs instead.</t>
        </is>
      </c>
    </row>
    <row r="14">
      <c r="B14" s="19" t="inlineStr">
        <is>
          <t>• Coffee/tea only included where the food menu references them (Chef's Breakfast, affogato). Bar/beverage stock is not on these menus.</t>
        </is>
      </c>
    </row>
    <row r="15">
      <c r="B15" s="19" t="inlineStr"/>
    </row>
    <row r="16">
      <c r="B16" s="18" t="inlineStr">
        <is>
          <t>Open questions for the kitchen</t>
        </is>
      </c>
    </row>
    <row r="17">
      <c r="B17" s="19" t="inlineStr">
        <is>
          <t>1. Expected covers per service (breakfast / lunch / dinner / Friday supper club) and any booked functions? Pars depend on it.</t>
        </is>
      </c>
    </row>
    <row r="18">
      <c r="B18" s="19" t="inlineStr">
        <is>
          <t>2. Which components are made in-house vs bought: bread, croissants, sorbet, ice cream, sausages, tonkatsu sauce, sambals?</t>
        </is>
      </c>
    </row>
    <row r="19">
      <c r="B19" s="19" t="inlineStr">
        <is>
          <t>3. Sorbet trio flavours and cheesecake flavour — these drive fruit/flavour orders.</t>
        </is>
      </c>
    </row>
    <row r="20">
      <c r="B20" s="19" t="inlineStr">
        <is>
          <t>4. Which liqueurs for the affogato?</t>
        </is>
      </c>
    </row>
    <row r="21">
      <c r="B21" s="19" t="inlineStr">
        <is>
          <t>5. Lobster: live vs frozen, and how many bouillabaisse/platter covers do you expect?</t>
        </is>
      </c>
    </row>
    <row r="22">
      <c r="B22" s="19" t="inlineStr">
        <is>
          <t>6. Is this an opening stock order (full par) or a weekly top-up?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2026-09-30T09:01:49Z</dcterms:created>
  <dcterms:modified xsi:type="dcterms:W3CDTF">2026-09-30T09:01:49Z</dcterms:modified>
</cp:coreProperties>
</file>